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9638e08ddb0dcd/Рабочий стол/"/>
    </mc:Choice>
  </mc:AlternateContent>
  <xr:revisionPtr revIDLastSave="3" documentId="8_{F3BBC549-0864-413A-9ADA-C245A6ACF3DE}" xr6:coauthVersionLast="47" xr6:coauthVersionMax="47" xr10:uidLastSave="{A277F141-5F43-4571-B716-10723E9A4F6B}"/>
  <bookViews>
    <workbookView xWindow="-110" yWindow="-110" windowWidth="19420" windowHeight="11020" tabRatio="844" activeTab="2" xr2:uid="{5FFE2E21-4CE1-437D-9C46-CBAC9993A32C}"/>
  </bookViews>
  <sheets>
    <sheet name="dashboard" sheetId="5" r:id="rId1"/>
    <sheet name="аnalysis" sheetId="6" r:id="rId2"/>
    <sheet name="conclusions" sheetId="14" r:id="rId3"/>
    <sheet name="account_activity" sheetId="3" r:id="rId4"/>
    <sheet name="сustomer_activity" sheetId="1" r:id="rId5"/>
    <sheet name="customer_types" sheetId="4" r:id="rId6"/>
    <sheet name="transaction_types" sheetId="2" r:id="rId7"/>
    <sheet name="pivot_top_customers" sheetId="13" r:id="rId8"/>
    <sheet name="pivot_transaction_types" sheetId="9" r:id="rId9"/>
    <sheet name="pivot_top_accounts" sheetId="12" r:id="rId10"/>
    <sheet name="pivot_customer_types" sheetId="8" r:id="rId11"/>
    <sheet name="pivot_loans" sheetId="11" r:id="rId12"/>
  </sheets>
  <calcPr calcId="191029"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calcChain.xml><?xml version="1.0" encoding="utf-8"?>
<calcChain xmlns="http://schemas.openxmlformats.org/spreadsheetml/2006/main">
  <c r="E2" i="6" l="1"/>
  <c r="B6" i="6"/>
  <c r="F4" i="5" s="1"/>
  <c r="B2" i="6"/>
  <c r="B4" i="5" s="1"/>
  <c r="B3" i="6"/>
  <c r="B8" i="6" s="1"/>
  <c r="H4" i="5" s="1"/>
  <c r="E3" i="6" l="1"/>
  <c r="F3" i="6" s="1"/>
  <c r="D4" i="5"/>
  <c r="F2" i="6"/>
</calcChain>
</file>

<file path=xl/sharedStrings.xml><?xml version="1.0" encoding="utf-8"?>
<sst xmlns="http://schemas.openxmlformats.org/spreadsheetml/2006/main" count="66" uniqueCount="52">
  <si>
    <t>Сумма исходящих операций</t>
  </si>
  <si>
    <t>Исходящие операции</t>
  </si>
  <si>
    <t>Ранг</t>
  </si>
  <si>
    <t>ID клиента</t>
  </si>
  <si>
    <t>Количество операций</t>
  </si>
  <si>
    <t>Тип транзакции</t>
  </si>
  <si>
    <t>Общий объём операций</t>
  </si>
  <si>
    <t>ID счёта</t>
  </si>
  <si>
    <t>Исходящая сумма</t>
  </si>
  <si>
    <t>Входящие операции</t>
  </si>
  <si>
    <t>Входящая сумма</t>
  </si>
  <si>
    <t>Общий оборот</t>
  </si>
  <si>
    <t>Тип клиента</t>
  </si>
  <si>
    <t>Количество клиентов</t>
  </si>
  <si>
    <t>Показатель</t>
  </si>
  <si>
    <t>Значение</t>
  </si>
  <si>
    <t>Всего клиентов</t>
  </si>
  <si>
    <t>Всего счетов</t>
  </si>
  <si>
    <t>Уникальных адресов</t>
  </si>
  <si>
    <t>Адресов с несколькими клиентами</t>
  </si>
  <si>
    <t>Всего транзакций</t>
  </si>
  <si>
    <t>Счетов с кредитом</t>
  </si>
  <si>
    <t>Доля счетов с кредитом</t>
  </si>
  <si>
    <t>Общий итог</t>
  </si>
  <si>
    <t xml:space="preserve">Количество клиентов </t>
  </si>
  <si>
    <t>1</t>
  </si>
  <si>
    <t xml:space="preserve">Количество операций </t>
  </si>
  <si>
    <t xml:space="preserve">Общий объём операций </t>
  </si>
  <si>
    <t>Статус кредита</t>
  </si>
  <si>
    <t>Количество</t>
  </si>
  <si>
    <t>Доля</t>
  </si>
  <si>
    <t>С кредитом</t>
  </si>
  <si>
    <t>Без кредита</t>
  </si>
  <si>
    <t xml:space="preserve">Доля </t>
  </si>
  <si>
    <t xml:space="preserve">Общий оборот </t>
  </si>
  <si>
    <t>ID счета</t>
  </si>
  <si>
    <t>(несколько элементов)</t>
  </si>
  <si>
    <t xml:space="preserve">Сумма исходящих операций </t>
  </si>
  <si>
    <t xml:space="preserve">ID клиента </t>
  </si>
  <si>
    <t>Дашборд аналитики банковских счетов и транзакций</t>
  </si>
  <si>
    <t>Всего транзакции</t>
  </si>
  <si>
    <t>Основные выводы</t>
  </si>
  <si>
    <t>1. Клиентская база</t>
  </si>
  <si>
    <t>В базе 1 100 клиентов. Они распределены между тремя типами примерно равномерно: количество клиентов в группах находится в диапазоне от 351 до 397. Явного преобладания одного типа нет.</t>
  </si>
  <si>
    <t>2. Кредитные продукты</t>
  </si>
  <si>
    <t>3. Адресная структура</t>
  </si>
  <si>
    <t>Кредит есть у 298 из 1 651 счетов, что составляет 18,05%. Таким образом, большая часть счетов составляет 81,95% у которых нет кредита</t>
  </si>
  <si>
    <t>В базе 720 уникальных адресов, при этом 276 адресов используются несколькими клиентами, что составляет около 38% всех адресов.</t>
  </si>
  <si>
    <t>Всего в базе 49 500 транзакций. Типы операций заметно различаются по количеству и общему объёму. Например, тип 4 значительно уступает остальным типам по активности, количество операции составляет 4958, по сравннению с другими типами, где количество достигает 14-15 тысяч</t>
  </si>
  <si>
    <t>4. Транзакции: количество и объём</t>
  </si>
  <si>
    <t>5. Наиболее активные клиенты</t>
  </si>
  <si>
    <t>Клиент 10458 занимает первое место по исходящему объёму 755 595,12 руб. при 300 исходящих операциях. Занимает первое место как по количеству счетов (10 штук), так и по суммарному балансу (442 670,98).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</si>
</sst>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18" fillId="0" borderId="0" xfId="0" applyFont="1"/>
    <xf numFmtId="0" fontId="0" fillId="33" borderId="11" xfId="0" applyFill="1" applyBorder="1"/>
    <xf numFmtId="0" fontId="0" fillId="33" borderId="11" xfId="0" applyFill="1" applyBorder="1" applyAlignment="1">
      <alignment horizontal="center"/>
    </xf>
    <xf numFmtId="10" fontId="19" fillId="33" borderId="10" xfId="0" applyNumberFormat="1" applyFont="1" applyFill="1" applyBorder="1" applyAlignment="1">
      <alignment horizontal="center"/>
    </xf>
    <xf numFmtId="3" fontId="19" fillId="33" borderId="10" xfId="0" applyNumberFormat="1" applyFont="1" applyFill="1" applyBorder="1" applyAlignment="1">
      <alignment horizontal="center"/>
    </xf>
    <xf numFmtId="0" fontId="19" fillId="0" borderId="0" xfId="0" applyFont="1"/>
    <xf numFmtId="0" fontId="16" fillId="0" borderId="0" xfId="0" applyFont="1"/>
    <xf numFmtId="0" fontId="20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4"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</dxf>
    <dxf>
      <font>
        <b/>
      </font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right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[bank_analytics.xlsx]pivot_customer_types!Сводная таблица1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Распределение клиентов по типам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pivot_customer_types!$B$3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pivot_customer_types!$A$4:$A$7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pivot_customer_types!$B$4:$B$7</c:f>
              <c:numCache>
                <c:formatCode>General</c:formatCode>
                <c:ptCount val="3"/>
                <c:pt idx="0">
                  <c:v>351</c:v>
                </c:pt>
                <c:pt idx="1">
                  <c:v>352</c:v>
                </c:pt>
                <c:pt idx="2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6-4D83-A33A-118F6B5B4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068415"/>
        <c:axId val="925432479"/>
      </c:barChart>
      <c:catAx>
        <c:axId val="74906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chemeClr val="tx1"/>
                    </a:solidFill>
                  </a:rPr>
                  <a:t>Тип</a:t>
                </a:r>
                <a:r>
                  <a:rPr lang="ru-RU" baseline="0">
                    <a:solidFill>
                      <a:schemeClr val="tx1"/>
                    </a:solidFill>
                  </a:rPr>
                  <a:t> клиента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432479"/>
        <c:crosses val="autoZero"/>
        <c:auto val="1"/>
        <c:lblAlgn val="ctr"/>
        <c:lblOffset val="100"/>
        <c:noMultiLvlLbl val="0"/>
      </c:catAx>
      <c:valAx>
        <c:axId val="92543247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chemeClr val="tx1"/>
                    </a:solidFill>
                  </a:rPr>
                  <a:t>Количесвто</a:t>
                </a:r>
                <a:r>
                  <a:rPr lang="ru-RU" baseline="0">
                    <a:solidFill>
                      <a:schemeClr val="tx1"/>
                    </a:solidFill>
                  </a:rPr>
                  <a:t> клиентов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592053076698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06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[bank_analytics.xlsx]pivot_loans!Сводная таблица4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Доля клиентов со статусом кредита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tx>
            <c:rich>
              <a:bodyPr/>
              <a:lstStyle/>
              <a:p>
                <a:fld id="{040DB431-9A19-4A05-A9D3-0209284FCD61}" type="VALUE">
                  <a:rPr lang="en-US">
                    <a:solidFill>
                      <a:schemeClr val="tx1"/>
                    </a:solidFill>
                  </a:rPr>
                  <a:pPr/>
                  <a:t>[ЗНАЧЕНИЕ]</a:t>
                </a:fld>
                <a:endParaRPr lang="ru-RU"/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tx>
            <c:rich>
              <a:bodyPr/>
              <a:lstStyle/>
              <a:p>
                <a:fld id="{635B6232-2CA5-46E7-9130-3804A40C29C8}" type="VALUE">
                  <a:rPr lang="en-US">
                    <a:solidFill>
                      <a:schemeClr val="tx1"/>
                    </a:solidFill>
                  </a:rPr>
                  <a:pPr/>
                  <a:t>[ЗНАЧЕНИЕ]</a:t>
                </a:fld>
                <a:endParaRPr lang="ru-RU"/>
              </a:p>
            </c:rich>
          </c:tx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43314F-8D4F-4349-9550-F8B6DD96849F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66B590-7964-4CD2-8C7E-627331EAF7A9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43314F-8D4F-4349-9550-F8B6DD96849F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66B590-7964-4CD2-8C7E-627331EAF7A9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43314F-8D4F-4349-9550-F8B6DD96849F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66B590-7964-4CD2-8C7E-627331EAF7A9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pivot_loans!$B$3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10-4C4E-9C4F-B2D0B78D93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0-4C4E-9C4F-B2D0B78D93A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43314F-8D4F-4349-9550-F8B6DD96849F}" type="VALUE">
                      <a:rPr lang="en-US">
                        <a:solidFill>
                          <a:schemeClr val="tx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F10-4C4E-9C4F-B2D0B78D93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66B590-7964-4CD2-8C7E-627331EAF7A9}" type="VALUE">
                      <a:rPr lang="en-US">
                        <a:solidFill>
                          <a:schemeClr val="tx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F10-4C4E-9C4F-B2D0B78D93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pivot_loans!$A$4:$A$6</c:f>
              <c:strCache>
                <c:ptCount val="2"/>
                <c:pt idx="0">
                  <c:v>Без кредита</c:v>
                </c:pt>
                <c:pt idx="1">
                  <c:v>С кредитом</c:v>
                </c:pt>
              </c:strCache>
            </c:strRef>
          </c:cat>
          <c:val>
            <c:numRef>
              <c:f>pivot_loans!$B$4:$B$6</c:f>
              <c:numCache>
                <c:formatCode>0.00%</c:formatCode>
                <c:ptCount val="2"/>
                <c:pt idx="0">
                  <c:v>0.81950333131435493</c:v>
                </c:pt>
                <c:pt idx="1">
                  <c:v>0.18049666868564507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10-4C4E-9C4F-B2D0B78D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[bank_analytics.xlsx]pivot_top_customers!Сводная таблица6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Топ-10 клиентов по исходящему объёму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, </a:t>
            </a:r>
            <a:r>
              <a:rPr lang="ru-RU" sz="1400" b="0" i="0" u="none" strike="noStrike" baseline="0">
                <a:solidFill>
                  <a:schemeClr val="tx1"/>
                </a:solidFill>
              </a:rPr>
              <a:t>руб. 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pivot_top_customers!$B$3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pivot_top_customers!$A$4:$A$14</c:f>
              <c:strCache>
                <c:ptCount val="10"/>
                <c:pt idx="0">
                  <c:v>10458</c:v>
                </c:pt>
                <c:pt idx="1">
                  <c:v>10324</c:v>
                </c:pt>
                <c:pt idx="2">
                  <c:v>11038</c:v>
                </c:pt>
                <c:pt idx="3">
                  <c:v>10297</c:v>
                </c:pt>
                <c:pt idx="4">
                  <c:v>11090</c:v>
                </c:pt>
                <c:pt idx="5">
                  <c:v>10760</c:v>
                </c:pt>
                <c:pt idx="6">
                  <c:v>10909</c:v>
                </c:pt>
                <c:pt idx="7">
                  <c:v>10226</c:v>
                </c:pt>
                <c:pt idx="8">
                  <c:v>10298</c:v>
                </c:pt>
                <c:pt idx="9">
                  <c:v>10895</c:v>
                </c:pt>
              </c:strCache>
            </c:strRef>
          </c:cat>
          <c:val>
            <c:numRef>
              <c:f>pivot_top_customers!$B$4:$B$14</c:f>
              <c:numCache>
                <c:formatCode>0.00</c:formatCode>
                <c:ptCount val="10"/>
                <c:pt idx="0">
                  <c:v>755595.12</c:v>
                </c:pt>
                <c:pt idx="1">
                  <c:v>513469.42</c:v>
                </c:pt>
                <c:pt idx="2">
                  <c:v>505539.75</c:v>
                </c:pt>
                <c:pt idx="3">
                  <c:v>493183.81</c:v>
                </c:pt>
                <c:pt idx="4">
                  <c:v>488885.57</c:v>
                </c:pt>
                <c:pt idx="5">
                  <c:v>455518.67</c:v>
                </c:pt>
                <c:pt idx="6">
                  <c:v>454161.19</c:v>
                </c:pt>
                <c:pt idx="7">
                  <c:v>436983.54</c:v>
                </c:pt>
                <c:pt idx="8">
                  <c:v>426015.78</c:v>
                </c:pt>
                <c:pt idx="9">
                  <c:v>424688.68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3-485C-B7C9-B4E56E7B6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7326015"/>
        <c:axId val="925418559"/>
      </c:barChart>
      <c:catAx>
        <c:axId val="5273260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</a:t>
                </a:r>
                <a:r>
                  <a:rPr lang="en-US" baseline="0"/>
                  <a:t> </a:t>
                </a:r>
                <a:r>
                  <a:rPr lang="ru-RU" baseline="0"/>
                  <a:t>клиента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418559"/>
        <c:crosses val="autoZero"/>
        <c:auto val="1"/>
        <c:lblAlgn val="ctr"/>
        <c:lblOffset val="100"/>
        <c:noMultiLvlLbl val="0"/>
      </c:catAx>
      <c:valAx>
        <c:axId val="925418559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52732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[bank_analytics.xlsx]pivot_top_accounts!Сводная таблица5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Топ-10 счетов по общему обороту, руб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.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281042857340549"/>
          <c:y val="0.12541666666666668"/>
          <c:w val="0.8769019683851722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pivot_top_accounts!$B$3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pivot_top_accounts!$A$4:$A$14</c:f>
              <c:strCache>
                <c:ptCount val="10"/>
                <c:pt idx="0">
                  <c:v>200002</c:v>
                </c:pt>
                <c:pt idx="1">
                  <c:v>200008</c:v>
                </c:pt>
                <c:pt idx="2">
                  <c:v>200006</c:v>
                </c:pt>
                <c:pt idx="3">
                  <c:v>200005</c:v>
                </c:pt>
                <c:pt idx="4">
                  <c:v>200009</c:v>
                </c:pt>
                <c:pt idx="5">
                  <c:v>200004</c:v>
                </c:pt>
                <c:pt idx="6">
                  <c:v>200001</c:v>
                </c:pt>
                <c:pt idx="7">
                  <c:v>200007</c:v>
                </c:pt>
                <c:pt idx="8">
                  <c:v>200000</c:v>
                </c:pt>
                <c:pt idx="9">
                  <c:v>200003</c:v>
                </c:pt>
              </c:strCache>
            </c:strRef>
          </c:cat>
          <c:val>
            <c:numRef>
              <c:f>pivot_top_accounts!$B$4:$B$14</c:f>
              <c:numCache>
                <c:formatCode>0.00</c:formatCode>
                <c:ptCount val="10"/>
                <c:pt idx="0">
                  <c:v>282107.15999999997</c:v>
                </c:pt>
                <c:pt idx="1">
                  <c:v>188641.41</c:v>
                </c:pt>
                <c:pt idx="2">
                  <c:v>183249.43</c:v>
                </c:pt>
                <c:pt idx="3">
                  <c:v>149023.4</c:v>
                </c:pt>
                <c:pt idx="4">
                  <c:v>147881.15</c:v>
                </c:pt>
                <c:pt idx="5">
                  <c:v>141170.18</c:v>
                </c:pt>
                <c:pt idx="6">
                  <c:v>134778.97</c:v>
                </c:pt>
                <c:pt idx="7">
                  <c:v>126206.13</c:v>
                </c:pt>
                <c:pt idx="8">
                  <c:v>125986.73</c:v>
                </c:pt>
                <c:pt idx="9">
                  <c:v>92873.64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C-4E6D-89D2-5A6FA3BC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497359"/>
        <c:axId val="727328767"/>
      </c:barChart>
      <c:catAx>
        <c:axId val="89449735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ID </a:t>
                </a:r>
                <a:r>
                  <a:rPr lang="ru-RU">
                    <a:solidFill>
                      <a:schemeClr val="tx1"/>
                    </a:solidFill>
                  </a:rPr>
                  <a:t>счета</a:t>
                </a:r>
              </a:p>
            </c:rich>
          </c:tx>
          <c:layout>
            <c:manualLayout>
              <c:xMode val="edge"/>
              <c:yMode val="edge"/>
              <c:x val="2.0149315694061969E-2"/>
              <c:y val="0.4273264800233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328767"/>
        <c:crosses val="autoZero"/>
        <c:auto val="1"/>
        <c:lblAlgn val="ctr"/>
        <c:lblOffset val="100"/>
        <c:noMultiLvlLbl val="0"/>
      </c:catAx>
      <c:valAx>
        <c:axId val="727328767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89449735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[bank_analytics.xlsx]pivot_transaction_types!Сводная таблица2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Операций по типам транзакций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pivot_transaction_types!$C$3</c:f>
              <c:strCache>
                <c:ptCount val="1"/>
                <c:pt idx="0">
                  <c:v>Общий объём операций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pivot_transaction_types!$A$4:$A$8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pivot_transaction_types!$C$4:$C$8</c:f>
              <c:numCache>
                <c:formatCode>0.00</c:formatCode>
                <c:ptCount val="4"/>
                <c:pt idx="0">
                  <c:v>37647877.219999999</c:v>
                </c:pt>
                <c:pt idx="1">
                  <c:v>36742449.799999997</c:v>
                </c:pt>
                <c:pt idx="2">
                  <c:v>37183395.630000003</c:v>
                </c:pt>
                <c:pt idx="3">
                  <c:v>12381777.83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4-4863-BACA-81E62E23C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3175119"/>
        <c:axId val="527460767"/>
      </c:barChart>
      <c:lineChart>
        <c:grouping val="standard"/>
        <c:varyColors val="0"/>
        <c:ser>
          <c:idx val="0"/>
          <c:order val="0"/>
          <c:tx>
            <c:strRef>
              <c:f>pivot_transaction_types!$B$3</c:f>
              <c:strCache>
                <c:ptCount val="1"/>
                <c:pt idx="0">
                  <c:v>Количество операций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pivot_transaction_types!$A$4:$A$8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pivot_transaction_types!$B$4:$B$8</c:f>
              <c:numCache>
                <c:formatCode>General</c:formatCode>
                <c:ptCount val="4"/>
                <c:pt idx="0">
                  <c:v>15065</c:v>
                </c:pt>
                <c:pt idx="1">
                  <c:v>14706</c:v>
                </c:pt>
                <c:pt idx="2">
                  <c:v>14771</c:v>
                </c:pt>
                <c:pt idx="3">
                  <c:v>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04-4863-BACA-81E62E23C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139391"/>
        <c:axId val="925445919"/>
      </c:lineChart>
      <c:catAx>
        <c:axId val="9031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60767"/>
        <c:crosses val="autoZero"/>
        <c:auto val="1"/>
        <c:lblAlgn val="ctr"/>
        <c:lblOffset val="100"/>
        <c:noMultiLvlLbl val="0"/>
      </c:catAx>
      <c:valAx>
        <c:axId val="527460767"/>
        <c:scaling>
          <c:orientation val="minMax"/>
        </c:scaling>
        <c:delete val="0"/>
        <c:axPos val="l"/>
        <c:numFmt formatCode="#\ ##0\ \ &quot;мл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3175119"/>
        <c:crosses val="autoZero"/>
        <c:crossBetween val="between"/>
        <c:dispUnits>
          <c:builtInUnit val="millions"/>
        </c:dispUnits>
      </c:valAx>
      <c:valAx>
        <c:axId val="9254459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3139391"/>
        <c:crosses val="max"/>
        <c:crossBetween val="between"/>
      </c:valAx>
      <c:catAx>
        <c:axId val="903139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5445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[bank_analytics.xlsx]pivot_top_customers!Сводная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Топ-10 клиентов по исходящему объёму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, </a:t>
            </a:r>
            <a:r>
              <a:rPr lang="ru-RU" sz="1400" b="0" i="0" u="none" strike="noStrike" baseline="0">
                <a:solidFill>
                  <a:schemeClr val="tx1"/>
                </a:solidFill>
              </a:rPr>
              <a:t>руб. (по ID)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pivot_top_customers!$B$3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pivot_top_customers!$A$4:$A$14</c:f>
              <c:strCache>
                <c:ptCount val="10"/>
                <c:pt idx="0">
                  <c:v>10458</c:v>
                </c:pt>
                <c:pt idx="1">
                  <c:v>10324</c:v>
                </c:pt>
                <c:pt idx="2">
                  <c:v>11038</c:v>
                </c:pt>
                <c:pt idx="3">
                  <c:v>10297</c:v>
                </c:pt>
                <c:pt idx="4">
                  <c:v>11090</c:v>
                </c:pt>
                <c:pt idx="5">
                  <c:v>10760</c:v>
                </c:pt>
                <c:pt idx="6">
                  <c:v>10909</c:v>
                </c:pt>
                <c:pt idx="7">
                  <c:v>10226</c:v>
                </c:pt>
                <c:pt idx="8">
                  <c:v>10298</c:v>
                </c:pt>
                <c:pt idx="9">
                  <c:v>10895</c:v>
                </c:pt>
              </c:strCache>
            </c:strRef>
          </c:cat>
          <c:val>
            <c:numRef>
              <c:f>pivot_top_customers!$B$4:$B$14</c:f>
              <c:numCache>
                <c:formatCode>0.00</c:formatCode>
                <c:ptCount val="10"/>
                <c:pt idx="0">
                  <c:v>755595.12</c:v>
                </c:pt>
                <c:pt idx="1">
                  <c:v>513469.42</c:v>
                </c:pt>
                <c:pt idx="2">
                  <c:v>505539.75</c:v>
                </c:pt>
                <c:pt idx="3">
                  <c:v>493183.81</c:v>
                </c:pt>
                <c:pt idx="4">
                  <c:v>488885.57</c:v>
                </c:pt>
                <c:pt idx="5">
                  <c:v>455518.67</c:v>
                </c:pt>
                <c:pt idx="6">
                  <c:v>454161.19</c:v>
                </c:pt>
                <c:pt idx="7">
                  <c:v>436983.54</c:v>
                </c:pt>
                <c:pt idx="8">
                  <c:v>426015.78</c:v>
                </c:pt>
                <c:pt idx="9">
                  <c:v>424688.68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4-4334-8E1A-B20C40FE7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7326015"/>
        <c:axId val="925418559"/>
      </c:barChart>
      <c:catAx>
        <c:axId val="5273260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</a:t>
                </a:r>
                <a:r>
                  <a:rPr lang="en-US" baseline="0"/>
                  <a:t> </a:t>
                </a:r>
                <a:r>
                  <a:rPr lang="ru-RU" baseline="0"/>
                  <a:t>клиента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418559"/>
        <c:crosses val="autoZero"/>
        <c:auto val="1"/>
        <c:lblAlgn val="ctr"/>
        <c:lblOffset val="100"/>
        <c:noMultiLvlLbl val="0"/>
      </c:catAx>
      <c:valAx>
        <c:axId val="92541855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52732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[bank_analytics.xlsx]pivot_transaction_types!Сводная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Операций по типам транзакций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pivot_transaction_types!$C$3</c:f>
              <c:strCache>
                <c:ptCount val="1"/>
                <c:pt idx="0">
                  <c:v>Общий объём операций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pivot_transaction_types!$A$4:$A$8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pivot_transaction_types!$C$4:$C$8</c:f>
              <c:numCache>
                <c:formatCode>0.00</c:formatCode>
                <c:ptCount val="4"/>
                <c:pt idx="0">
                  <c:v>37647877.219999999</c:v>
                </c:pt>
                <c:pt idx="1">
                  <c:v>36742449.799999997</c:v>
                </c:pt>
                <c:pt idx="2">
                  <c:v>37183395.630000003</c:v>
                </c:pt>
                <c:pt idx="3">
                  <c:v>12381777.83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FE-4CF3-944D-75AB963F5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03175119"/>
        <c:axId val="527460767"/>
      </c:barChart>
      <c:lineChart>
        <c:grouping val="standard"/>
        <c:varyColors val="0"/>
        <c:ser>
          <c:idx val="0"/>
          <c:order val="0"/>
          <c:tx>
            <c:strRef>
              <c:f>pivot_transaction_types!$B$3</c:f>
              <c:strCache>
                <c:ptCount val="1"/>
                <c:pt idx="0">
                  <c:v>Количество операций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pivot_transaction_types!$A$4:$A$8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pivot_transaction_types!$B$4:$B$8</c:f>
              <c:numCache>
                <c:formatCode>General</c:formatCode>
                <c:ptCount val="4"/>
                <c:pt idx="0">
                  <c:v>15065</c:v>
                </c:pt>
                <c:pt idx="1">
                  <c:v>14706</c:v>
                </c:pt>
                <c:pt idx="2">
                  <c:v>14771</c:v>
                </c:pt>
                <c:pt idx="3">
                  <c:v>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E-4CF3-944D-75AB963F5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139391"/>
        <c:axId val="925445919"/>
      </c:lineChart>
      <c:catAx>
        <c:axId val="9031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60767"/>
        <c:crosses val="autoZero"/>
        <c:auto val="1"/>
        <c:lblAlgn val="ctr"/>
        <c:lblOffset val="100"/>
        <c:noMultiLvlLbl val="0"/>
      </c:catAx>
      <c:valAx>
        <c:axId val="52746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\ &quot;млн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3175119"/>
        <c:crosses val="autoZero"/>
        <c:crossBetween val="between"/>
        <c:dispUnits>
          <c:builtInUnit val="millions"/>
        </c:dispUnits>
      </c:valAx>
      <c:valAx>
        <c:axId val="9254459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3139391"/>
        <c:crosses val="max"/>
        <c:crossBetween val="between"/>
      </c:valAx>
      <c:catAx>
        <c:axId val="903139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5445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[bank_analytics.xlsx]pivot_top_accounts!Сводная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Топ-10 счетов по общему обороту, руб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.</a:t>
            </a:r>
            <a:r>
              <a:rPr lang="ru-RU" sz="1400" b="0" i="0" u="none" strike="noStrike" baseline="0">
                <a:solidFill>
                  <a:schemeClr val="tx1"/>
                </a:solidFill>
              </a:rPr>
              <a:t> (по </a:t>
            </a:r>
            <a:r>
              <a:rPr lang="en-US" sz="1400" b="0" i="0" u="none" strike="noStrike" baseline="0">
                <a:solidFill>
                  <a:schemeClr val="tx1"/>
                </a:solidFill>
              </a:rPr>
              <a:t>ID</a:t>
            </a:r>
            <a:r>
              <a:rPr lang="ru-RU" sz="1400" b="0" i="0" u="none" strike="noStrike" baseline="0">
                <a:solidFill>
                  <a:schemeClr val="tx1"/>
                </a:solidFill>
              </a:rPr>
              <a:t>)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81042857340549"/>
          <c:y val="0.12541666666666668"/>
          <c:w val="0.8769019683851722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pivot_top_accounts!$B$3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pivot_top_accounts!$A$4:$A$14</c:f>
              <c:strCache>
                <c:ptCount val="10"/>
                <c:pt idx="0">
                  <c:v>200002</c:v>
                </c:pt>
                <c:pt idx="1">
                  <c:v>200008</c:v>
                </c:pt>
                <c:pt idx="2">
                  <c:v>200006</c:v>
                </c:pt>
                <c:pt idx="3">
                  <c:v>200005</c:v>
                </c:pt>
                <c:pt idx="4">
                  <c:v>200009</c:v>
                </c:pt>
                <c:pt idx="5">
                  <c:v>200004</c:v>
                </c:pt>
                <c:pt idx="6">
                  <c:v>200001</c:v>
                </c:pt>
                <c:pt idx="7">
                  <c:v>200007</c:v>
                </c:pt>
                <c:pt idx="8">
                  <c:v>200000</c:v>
                </c:pt>
                <c:pt idx="9">
                  <c:v>200003</c:v>
                </c:pt>
              </c:strCache>
            </c:strRef>
          </c:cat>
          <c:val>
            <c:numRef>
              <c:f>pivot_top_accounts!$B$4:$B$14</c:f>
              <c:numCache>
                <c:formatCode>0.00</c:formatCode>
                <c:ptCount val="10"/>
                <c:pt idx="0">
                  <c:v>282107.15999999997</c:v>
                </c:pt>
                <c:pt idx="1">
                  <c:v>188641.41</c:v>
                </c:pt>
                <c:pt idx="2">
                  <c:v>183249.43</c:v>
                </c:pt>
                <c:pt idx="3">
                  <c:v>149023.4</c:v>
                </c:pt>
                <c:pt idx="4">
                  <c:v>147881.15</c:v>
                </c:pt>
                <c:pt idx="5">
                  <c:v>141170.18</c:v>
                </c:pt>
                <c:pt idx="6">
                  <c:v>134778.97</c:v>
                </c:pt>
                <c:pt idx="7">
                  <c:v>126206.13</c:v>
                </c:pt>
                <c:pt idx="8">
                  <c:v>125986.73</c:v>
                </c:pt>
                <c:pt idx="9">
                  <c:v>92873.64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0-4294-8041-6935C4CC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497359"/>
        <c:axId val="727328767"/>
      </c:barChart>
      <c:catAx>
        <c:axId val="89449735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ID </a:t>
                </a:r>
                <a:r>
                  <a:rPr lang="ru-RU">
                    <a:solidFill>
                      <a:schemeClr val="tx1"/>
                    </a:solidFill>
                  </a:rPr>
                  <a:t>счета</a:t>
                </a:r>
              </a:p>
            </c:rich>
          </c:tx>
          <c:layout>
            <c:manualLayout>
              <c:xMode val="edge"/>
              <c:yMode val="edge"/>
              <c:x val="2.0149315694061969E-2"/>
              <c:y val="0.4273264800233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7328767"/>
        <c:crosses val="autoZero"/>
        <c:auto val="1"/>
        <c:lblAlgn val="ctr"/>
        <c:lblOffset val="100"/>
        <c:noMultiLvlLbl val="0"/>
      </c:catAx>
      <c:valAx>
        <c:axId val="727328767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9449735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[bank_analytics.xlsx]pivot_customer_types!Сводная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Распределение клиентов по типам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pivot_customer_types!$B$3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pivot_customer_types!$A$4:$A$7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pivot_customer_types!$B$4:$B$7</c:f>
              <c:numCache>
                <c:formatCode>General</c:formatCode>
                <c:ptCount val="3"/>
                <c:pt idx="0">
                  <c:v>351</c:v>
                </c:pt>
                <c:pt idx="1">
                  <c:v>352</c:v>
                </c:pt>
                <c:pt idx="2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7-4918-BDFF-9709B9AE1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068415"/>
        <c:axId val="925432479"/>
      </c:barChart>
      <c:catAx>
        <c:axId val="749068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chemeClr val="tx1"/>
                    </a:solidFill>
                  </a:rPr>
                  <a:t>Тип</a:t>
                </a:r>
                <a:r>
                  <a:rPr lang="ru-RU" baseline="0">
                    <a:solidFill>
                      <a:schemeClr val="tx1"/>
                    </a:solidFill>
                  </a:rPr>
                  <a:t> клиента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432479"/>
        <c:crosses val="autoZero"/>
        <c:auto val="1"/>
        <c:lblAlgn val="ctr"/>
        <c:lblOffset val="100"/>
        <c:noMultiLvlLbl val="0"/>
      </c:catAx>
      <c:valAx>
        <c:axId val="9254324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solidFill>
                      <a:schemeClr val="tx1"/>
                    </a:solidFill>
                  </a:rPr>
                  <a:t>Количесвто</a:t>
                </a:r>
                <a:r>
                  <a:rPr lang="ru-RU" baseline="0">
                    <a:solidFill>
                      <a:schemeClr val="tx1"/>
                    </a:solidFill>
                  </a:rPr>
                  <a:t> клиентов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5920530766987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06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[bank_analytics.xlsx]pivot_loans!Сводная таблица4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tx1"/>
                </a:solidFill>
              </a:rPr>
              <a:t>Доля клиентов со статусом кредита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tx>
            <c:rich>
              <a:bodyPr/>
              <a:lstStyle/>
              <a:p>
                <a:fld id="{040DB431-9A19-4A05-A9D3-0209284FCD61}" type="VALUE">
                  <a:rPr lang="en-US">
                    <a:solidFill>
                      <a:schemeClr val="tx1"/>
                    </a:solidFill>
                  </a:rPr>
                  <a:pPr/>
                  <a:t>[ЗНАЧЕНИЕ]</a:t>
                </a:fld>
                <a:endParaRPr lang="ru-RU"/>
              </a:p>
            </c:rich>
          </c:tx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tx>
            <c:rich>
              <a:bodyPr/>
              <a:lstStyle/>
              <a:p>
                <a:fld id="{635B6232-2CA5-46E7-9130-3804A40C29C8}" type="VALUE">
                  <a:rPr lang="en-US">
                    <a:solidFill>
                      <a:schemeClr val="tx1"/>
                    </a:solidFill>
                  </a:rPr>
                  <a:pPr/>
                  <a:t>[ЗНАЧЕНИЕ]</a:t>
                </a:fld>
                <a:endParaRPr lang="ru-RU"/>
              </a:p>
            </c:rich>
          </c:tx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D43314F-8D4F-4349-9550-F8B6DD96849F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66B590-7964-4CD2-8C7E-627331EAF7A9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[ЗНАЧЕНИЕ]</a:t>
                </a:fld>
                <a:endParaRPr lang="ru-RU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pivot_loans!$B$3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E7-44A1-BFEF-F6EAD6B103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3E7-44A1-BFEF-F6EAD6B103F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43314F-8D4F-4349-9550-F8B6DD96849F}" type="VALUE">
                      <a:rPr lang="en-US">
                        <a:solidFill>
                          <a:schemeClr val="tx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3E7-44A1-BFEF-F6EAD6B103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66B590-7964-4CD2-8C7E-627331EAF7A9}" type="VALUE">
                      <a:rPr lang="en-US">
                        <a:solidFill>
                          <a:schemeClr val="tx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3E7-44A1-BFEF-F6EAD6B103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pivot_loans!$A$4:$A$6</c:f>
              <c:strCache>
                <c:ptCount val="2"/>
                <c:pt idx="0">
                  <c:v>Без кредита</c:v>
                </c:pt>
                <c:pt idx="1">
                  <c:v>С кредитом</c:v>
                </c:pt>
              </c:strCache>
            </c:strRef>
          </c:cat>
          <c:val>
            <c:numRef>
              <c:f>pivot_loans!$B$4:$B$6</c:f>
              <c:numCache>
                <c:formatCode>0.00%</c:formatCode>
                <c:ptCount val="2"/>
                <c:pt idx="0">
                  <c:v>0.81950333131435493</c:v>
                </c:pt>
                <c:pt idx="1">
                  <c:v>0.18049666868564507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7-44A1-BFEF-F6EAD6B1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495300</xdr:colOff>
      <xdr:row>21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2A790B1-5BFB-4009-AC37-67CE698CF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13</xdr:col>
      <xdr:colOff>514350</xdr:colOff>
      <xdr:row>21</xdr:row>
      <xdr:rowOff>165100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4AAD8A-6B0C-45F1-91EF-E3F81D5B0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536575</xdr:colOff>
      <xdr:row>37</xdr:row>
      <xdr:rowOff>165100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948FBFD-A154-4465-BD09-AEE9D4FDD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21</xdr:col>
      <xdr:colOff>323850</xdr:colOff>
      <xdr:row>37</xdr:row>
      <xdr:rowOff>165100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4136F7C-5A1A-48B9-B286-E8E6A3914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7</xdr:row>
      <xdr:rowOff>-1</xdr:rowOff>
    </xdr:from>
    <xdr:to>
      <xdr:col>21</xdr:col>
      <xdr:colOff>329045</xdr:colOff>
      <xdr:row>21</xdr:row>
      <xdr:rowOff>173971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87EAEF3-1C4A-4E91-A714-CD9F6A3FB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460375</xdr:colOff>
      <xdr:row>0</xdr:row>
      <xdr:rowOff>111125</xdr:rowOff>
    </xdr:from>
    <xdr:to>
      <xdr:col>13</xdr:col>
      <xdr:colOff>196850</xdr:colOff>
      <xdr:row>15</xdr:row>
      <xdr:rowOff>92075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6C3987F-AEA4-0A6A-B65C-AF1BD3965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2</xdr:row>
      <xdr:rowOff>41275</xdr:rowOff>
    </xdr:from>
    <xdr:to>
      <xdr:col>11</xdr:col>
      <xdr:colOff>311150</xdr:colOff>
      <xdr:row>17</xdr:row>
      <xdr:rowOff>22225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046A5BA-7206-C0BD-6999-7E087A06D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0</xdr:rowOff>
    </xdr:from>
    <xdr:to>
      <xdr:col>14</xdr:col>
      <xdr:colOff>590550</xdr:colOff>
      <xdr:row>14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9E6024-CACF-F5CA-5AA0-3938B1F60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</xdr:row>
      <xdr:rowOff>149225</xdr:rowOff>
    </xdr:from>
    <xdr:to>
      <xdr:col>10</xdr:col>
      <xdr:colOff>38100</xdr:colOff>
      <xdr:row>16</xdr:row>
      <xdr:rowOff>130175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59EB47-C075-1FF2-5B5C-5B2FED271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1</xdr:row>
      <xdr:rowOff>180975</xdr:rowOff>
    </xdr:from>
    <xdr:to>
      <xdr:col>10</xdr:col>
      <xdr:colOff>320675</xdr:colOff>
      <xdr:row>16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277FEE-4D5F-5B84-961C-72B39E047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Эльдорадо" refreshedDate="46257.715746643516" createdVersion="8" refreshedVersion="8" minRefreshableVersion="3" recordCount="3" xr:uid="{92A8367A-7C39-43BD-A394-732C49A17232}">
  <cacheSource type="worksheet">
    <worksheetSource name="tblCustomerTypes"/>
  </cacheSource>
  <cacheFields count="2">
    <cacheField name="Тип клиента" numFmtId="0">
      <sharedItems containsSemiMixedTypes="0" containsString="0" containsNumber="1" containsInteger="1" minValue="1" maxValue="3" count="3">
        <n v="1"/>
        <n v="2"/>
        <n v="3"/>
      </sharedItems>
    </cacheField>
    <cacheField name="Количество клиентов" numFmtId="0">
      <sharedItems containsSemiMixedTypes="0" containsString="0" containsNumber="1" containsInteger="1" minValue="351" maxValue="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Эльдорадо" refreshedDate="46257.724710995368" createdVersion="8" refreshedVersion="8" minRefreshableVersion="3" recordCount="4" xr:uid="{0A08A2E0-590D-4282-84BC-8E59095B7A47}">
  <cacheSource type="worksheet">
    <worksheetSource name="tblTransactionTypes"/>
  </cacheSource>
  <cacheFields count="3">
    <cacheField name="Тип транзакции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Количество операций" numFmtId="0">
      <sharedItems containsSemiMixedTypes="0" containsString="0" containsNumber="1" containsInteger="1" minValue="4958" maxValue="15065"/>
    </cacheField>
    <cacheField name="Общий объём операций" numFmtId="2">
      <sharedItems containsSemiMixedTypes="0" containsString="0" containsNumber="1" minValue="12381777.83" maxValue="37647877.21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Эльдорадо" refreshedDate="46257.77539490741" createdVersion="8" refreshedVersion="8" minRefreshableVersion="3" recordCount="2" xr:uid="{98BEA832-1108-4E7F-A9B4-7C581085A0C9}">
  <cacheSource type="worksheet">
    <worksheetSource ref="D1:F3" sheet="аnalysis"/>
  </cacheSource>
  <cacheFields count="3">
    <cacheField name="Статус кредита" numFmtId="0">
      <sharedItems count="2">
        <s v="С кредитом"/>
        <s v="Без кредита"/>
      </sharedItems>
    </cacheField>
    <cacheField name="Количество" numFmtId="0">
      <sharedItems containsSemiMixedTypes="0" containsString="0" containsNumber="1" containsInteger="1" minValue="298" maxValue="1353"/>
    </cacheField>
    <cacheField name="Доля" numFmtId="10">
      <sharedItems containsSemiMixedTypes="0" containsString="0" containsNumber="1" minValue="0.18049666868564507" maxValue="0.819503331314354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Эльдорадо" refreshedDate="46257.784656365744" createdVersion="8" refreshedVersion="8" minRefreshableVersion="3" recordCount="1651" xr:uid="{8A8DD33D-D358-4C81-A558-B2EA2C22D324}">
  <cacheSource type="worksheet">
    <worksheetSource name="tblAccountActivity"/>
  </cacheSource>
  <cacheFields count="6">
    <cacheField name="ID счёта" numFmtId="0">
      <sharedItems containsSemiMixedTypes="0" containsString="0" containsNumber="1" containsInteger="1" minValue="200000" maxValue="201650" count="1651">
        <n v="200118"/>
        <n v="200147"/>
        <n v="200656"/>
        <n v="201011"/>
        <n v="200186"/>
        <n v="201405"/>
        <n v="200517"/>
        <n v="200807"/>
        <n v="200814"/>
        <n v="200332"/>
        <n v="200002"/>
        <n v="200430"/>
        <n v="200412"/>
        <n v="201605"/>
        <n v="201171"/>
        <n v="200561"/>
        <n v="201146"/>
        <n v="200676"/>
        <n v="200285"/>
        <n v="200304"/>
        <n v="201331"/>
        <n v="200302"/>
        <n v="201386"/>
        <n v="200977"/>
        <n v="200397"/>
        <n v="200660"/>
        <n v="201406"/>
        <n v="200756"/>
        <n v="201628"/>
        <n v="200654"/>
        <n v="200179"/>
        <n v="200970"/>
        <n v="200702"/>
        <n v="200594"/>
        <n v="200330"/>
        <n v="200576"/>
        <n v="200708"/>
        <n v="200410"/>
        <n v="200871"/>
        <n v="200267"/>
        <n v="200116"/>
        <n v="200404"/>
        <n v="201543"/>
        <n v="201638"/>
        <n v="201508"/>
        <n v="201097"/>
        <n v="200771"/>
        <n v="201434"/>
        <n v="200689"/>
        <n v="200988"/>
        <n v="201004"/>
        <n v="200557"/>
        <n v="201283"/>
        <n v="200873"/>
        <n v="200381"/>
        <n v="200680"/>
        <n v="200235"/>
        <n v="200540"/>
        <n v="200386"/>
        <n v="200387"/>
        <n v="200080"/>
        <n v="200645"/>
        <n v="200775"/>
        <n v="201265"/>
        <n v="200664"/>
        <n v="201057"/>
        <n v="200603"/>
        <n v="201048"/>
        <n v="201034"/>
        <n v="200609"/>
        <n v="201317"/>
        <n v="201514"/>
        <n v="200830"/>
        <n v="201363"/>
        <n v="201362"/>
        <n v="200114"/>
        <n v="200984"/>
        <n v="201300"/>
        <n v="200358"/>
        <n v="200800"/>
        <n v="200991"/>
        <n v="200917"/>
        <n v="201452"/>
        <n v="200514"/>
        <n v="200265"/>
        <n v="201139"/>
        <n v="200785"/>
        <n v="201419"/>
        <n v="201388"/>
        <n v="201080"/>
        <n v="200102"/>
        <n v="200920"/>
        <n v="200008"/>
        <n v="200591"/>
        <n v="200321"/>
        <n v="200617"/>
        <n v="201497"/>
        <n v="200435"/>
        <n v="200317"/>
        <n v="201206"/>
        <n v="200875"/>
        <n v="201185"/>
        <n v="200870"/>
        <n v="200204"/>
        <n v="201498"/>
        <n v="201643"/>
        <n v="201305"/>
        <n v="200729"/>
        <n v="200487"/>
        <n v="200289"/>
        <n v="201633"/>
        <n v="200568"/>
        <n v="200857"/>
        <n v="201475"/>
        <n v="200688"/>
        <n v="200751"/>
        <n v="200345"/>
        <n v="200827"/>
        <n v="200539"/>
        <n v="200590"/>
        <n v="200492"/>
        <n v="200491"/>
        <n v="200722"/>
        <n v="201494"/>
        <n v="201604"/>
        <n v="200672"/>
        <n v="201641"/>
        <n v="200013"/>
        <n v="201025"/>
        <n v="201030"/>
        <n v="200817"/>
        <n v="200006"/>
        <n v="200126"/>
        <n v="200478"/>
        <n v="200307"/>
        <n v="200880"/>
        <n v="201287"/>
        <n v="200437"/>
        <n v="200486"/>
        <n v="201234"/>
        <n v="200208"/>
        <n v="200446"/>
        <n v="201627"/>
        <n v="200261"/>
        <n v="201552"/>
        <n v="200469"/>
        <n v="200957"/>
        <n v="200348"/>
        <n v="201039"/>
        <n v="200579"/>
        <n v="200755"/>
        <n v="200195"/>
        <n v="200088"/>
        <n v="200094"/>
        <n v="201340"/>
        <n v="201190"/>
        <n v="201528"/>
        <n v="200947"/>
        <n v="200068"/>
        <n v="201368"/>
        <n v="201243"/>
        <n v="200802"/>
        <n v="200058"/>
        <n v="200666"/>
        <n v="200575"/>
        <n v="200801"/>
        <n v="201462"/>
        <n v="200442"/>
        <n v="201483"/>
        <n v="201617"/>
        <n v="200065"/>
        <n v="200362"/>
        <n v="200062"/>
        <n v="201531"/>
        <n v="201618"/>
        <n v="200035"/>
        <n v="200417"/>
        <n v="201597"/>
        <n v="200022"/>
        <n v="200577"/>
        <n v="200639"/>
        <n v="200773"/>
        <n v="200867"/>
        <n v="200297"/>
        <n v="200484"/>
        <n v="201323"/>
        <n v="201124"/>
        <n v="200796"/>
        <n v="200787"/>
        <n v="201066"/>
        <n v="201594"/>
        <n v="200419"/>
        <n v="201583"/>
        <n v="200287"/>
        <n v="201112"/>
        <n v="201408"/>
        <n v="200168"/>
        <n v="200423"/>
        <n v="200090"/>
        <n v="200354"/>
        <n v="200137"/>
        <n v="201380"/>
        <n v="201043"/>
        <n v="201132"/>
        <n v="200219"/>
        <n v="200703"/>
        <n v="200503"/>
        <n v="200962"/>
        <n v="200825"/>
        <n v="201367"/>
        <n v="200546"/>
        <n v="200925"/>
        <n v="201077"/>
        <n v="201435"/>
        <n v="201276"/>
        <n v="200602"/>
        <n v="201472"/>
        <n v="200178"/>
        <n v="201256"/>
        <n v="201224"/>
        <n v="201487"/>
        <n v="200245"/>
        <n v="201588"/>
        <n v="201642"/>
        <n v="200946"/>
        <n v="200016"/>
        <n v="200034"/>
        <n v="200402"/>
        <n v="201027"/>
        <n v="200879"/>
        <n v="200349"/>
        <n v="200286"/>
        <n v="200556"/>
        <n v="201211"/>
        <n v="200221"/>
        <n v="200919"/>
        <n v="200839"/>
        <n v="200695"/>
        <n v="200912"/>
        <n v="200251"/>
        <n v="200687"/>
        <n v="200625"/>
        <n v="201396"/>
        <n v="200308"/>
        <n v="200229"/>
        <n v="200086"/>
        <n v="200171"/>
        <n v="201616"/>
        <n v="200530"/>
        <n v="201006"/>
        <n v="201237"/>
        <n v="201241"/>
        <n v="200023"/>
        <n v="201058"/>
        <n v="201466"/>
        <n v="200048"/>
        <n v="200020"/>
        <n v="200652"/>
        <n v="201239"/>
        <n v="200189"/>
        <n v="201403"/>
        <n v="200233"/>
        <n v="200683"/>
        <n v="200481"/>
        <n v="200744"/>
        <n v="200604"/>
        <n v="201451"/>
        <n v="200063"/>
        <n v="201404"/>
        <n v="201059"/>
        <n v="200293"/>
        <n v="200228"/>
        <n v="200220"/>
        <n v="200451"/>
        <n v="200950"/>
        <n v="200777"/>
        <n v="201141"/>
        <n v="201621"/>
        <n v="200780"/>
        <n v="200511"/>
        <n v="200709"/>
        <n v="200217"/>
        <n v="200144"/>
        <n v="201032"/>
        <n v="201534"/>
        <n v="200786"/>
        <n v="201296"/>
        <n v="200205"/>
        <n v="201635"/>
        <n v="200121"/>
        <n v="200719"/>
        <n v="200124"/>
        <n v="201464"/>
        <n v="200150"/>
        <n v="200270"/>
        <n v="201290"/>
        <n v="200288"/>
        <n v="201524"/>
        <n v="200074"/>
        <n v="200981"/>
        <n v="201035"/>
        <n v="200276"/>
        <n v="201350"/>
        <n v="200599"/>
        <n v="200611"/>
        <n v="201263"/>
        <n v="200626"/>
        <n v="201174"/>
        <n v="201292"/>
        <n v="200212"/>
        <n v="201157"/>
        <n v="201455"/>
        <n v="201271"/>
        <n v="201432"/>
        <n v="200657"/>
        <n v="200632"/>
        <n v="200457"/>
        <n v="200665"/>
        <n v="201107"/>
        <n v="200377"/>
        <n v="200467"/>
        <n v="200927"/>
        <n v="201555"/>
        <n v="200320"/>
        <n v="201213"/>
        <n v="201152"/>
        <n v="200107"/>
        <n v="200536"/>
        <n v="201140"/>
        <n v="200610"/>
        <n v="201470"/>
        <n v="200725"/>
        <n v="201149"/>
        <n v="200406"/>
        <n v="200301"/>
        <n v="200421"/>
        <n v="201439"/>
        <n v="201394"/>
        <n v="201519"/>
        <n v="200039"/>
        <n v="200306"/>
        <n v="200607"/>
        <n v="200986"/>
        <n v="200447"/>
        <n v="201467"/>
        <n v="201236"/>
        <n v="200135"/>
        <n v="201480"/>
        <n v="200600"/>
        <n v="200505"/>
        <n v="200778"/>
        <n v="200347"/>
        <n v="200385"/>
        <n v="200714"/>
        <n v="200370"/>
        <n v="200319"/>
        <n v="201457"/>
        <n v="201321"/>
        <n v="201546"/>
        <n v="200400"/>
        <n v="200200"/>
        <n v="201626"/>
        <n v="200379"/>
        <n v="200844"/>
        <n v="200627"/>
        <n v="201220"/>
        <n v="201518"/>
        <n v="200427"/>
        <n v="201109"/>
        <n v="201316"/>
        <n v="201060"/>
        <n v="201172"/>
        <n v="200050"/>
        <n v="201490"/>
        <n v="201344"/>
        <n v="201511"/>
        <n v="200834"/>
        <n v="201421"/>
        <n v="200583"/>
        <n v="200523"/>
        <n v="200589"/>
        <n v="201216"/>
        <n v="200767"/>
        <n v="201198"/>
        <n v="200526"/>
        <n v="201506"/>
        <n v="200641"/>
        <n v="200606"/>
        <n v="201553"/>
        <n v="201209"/>
        <n v="200999"/>
        <n v="201115"/>
        <n v="201096"/>
        <n v="201389"/>
        <n v="201235"/>
        <n v="200835"/>
        <n v="200378"/>
        <n v="201314"/>
        <n v="200792"/>
        <n v="200698"/>
        <n v="200743"/>
        <n v="201016"/>
        <n v="200637"/>
        <n v="200428"/>
        <n v="201200"/>
        <n v="201535"/>
        <n v="200750"/>
        <n v="201227"/>
        <n v="201250"/>
        <n v="200868"/>
        <n v="200340"/>
        <n v="201304"/>
        <n v="200139"/>
        <n v="201395"/>
        <n v="201374"/>
        <n v="201297"/>
        <n v="201322"/>
        <n v="200357"/>
        <n v="200643"/>
        <n v="200140"/>
        <n v="200372"/>
        <n v="200415"/>
        <n v="200032"/>
        <n v="201355"/>
        <n v="200475"/>
        <n v="200254"/>
        <n v="200891"/>
        <n v="201207"/>
        <n v="200818"/>
        <n v="200290"/>
        <n v="200278"/>
        <n v="201230"/>
        <n v="200060"/>
        <n v="200488"/>
        <n v="200569"/>
        <n v="200042"/>
        <n v="200327"/>
        <n v="200252"/>
        <n v="201473"/>
        <n v="200598"/>
        <n v="200334"/>
        <n v="201238"/>
        <n v="200227"/>
        <n v="200335"/>
        <n v="200394"/>
        <n v="201347"/>
        <n v="200507"/>
        <n v="200253"/>
        <n v="200174"/>
        <n v="200696"/>
        <n v="200739"/>
        <n v="201274"/>
        <n v="201155"/>
        <n v="200279"/>
        <n v="200223"/>
        <n v="201194"/>
        <n v="201538"/>
        <n v="201051"/>
        <n v="200117"/>
        <n v="201397"/>
        <n v="200686"/>
        <n v="200131"/>
        <n v="200634"/>
        <n v="200795"/>
        <n v="201240"/>
        <n v="201176"/>
        <n v="200989"/>
        <n v="200408"/>
        <n v="200191"/>
        <n v="201123"/>
        <n v="201477"/>
        <n v="200691"/>
        <n v="201021"/>
        <n v="200638"/>
        <n v="200932"/>
        <n v="201249"/>
        <n v="200197"/>
        <n v="200770"/>
        <n v="201180"/>
        <n v="200190"/>
        <n v="201047"/>
        <n v="201142"/>
        <n v="200667"/>
        <n v="201485"/>
        <n v="200353"/>
        <n v="201377"/>
        <n v="200154"/>
        <n v="201285"/>
        <n v="201370"/>
        <n v="200504"/>
        <n v="200099"/>
        <n v="200160"/>
        <n v="200057"/>
        <n v="200754"/>
        <n v="200866"/>
        <n v="200899"/>
        <n v="201488"/>
        <n v="201361"/>
        <n v="200923"/>
        <n v="201484"/>
        <n v="200206"/>
        <n v="200562"/>
        <n v="200053"/>
        <n v="200931"/>
        <n v="201424"/>
        <n v="200723"/>
        <n v="201562"/>
        <n v="200522"/>
        <n v="200620"/>
        <n v="201221"/>
        <n v="200990"/>
        <n v="200851"/>
        <n v="201130"/>
        <n v="201615"/>
        <n v="200249"/>
        <n v="200199"/>
        <n v="200978"/>
        <n v="201324"/>
        <n v="201499"/>
        <n v="200244"/>
        <n v="200067"/>
        <n v="200622"/>
        <n v="201644"/>
        <n v="201105"/>
        <n v="200601"/>
        <n v="200193"/>
        <n v="200218"/>
        <n v="200271"/>
        <n v="201573"/>
        <n v="200453"/>
        <n v="200501"/>
        <n v="201479"/>
        <n v="200849"/>
        <n v="200939"/>
        <n v="201631"/>
        <n v="201566"/>
        <n v="200315"/>
        <n v="201101"/>
        <n v="200037"/>
        <n v="200812"/>
        <n v="201634"/>
        <n v="201160"/>
        <n v="201558"/>
        <n v="200797"/>
        <n v="200642"/>
        <n v="201416"/>
        <n v="200753"/>
        <n v="201336"/>
        <n v="200735"/>
        <n v="201040"/>
        <n v="200029"/>
        <n v="201189"/>
        <n v="200096"/>
        <n v="200318"/>
        <n v="201471"/>
        <n v="201585"/>
        <n v="200877"/>
        <n v="200519"/>
        <n v="200266"/>
        <n v="201427"/>
        <n v="200548"/>
        <n v="201554"/>
        <n v="200183"/>
        <n v="200954"/>
        <n v="200403"/>
        <n v="200832"/>
        <n v="201120"/>
        <n v="200712"/>
        <n v="200653"/>
        <n v="201544"/>
        <n v="200798"/>
        <n v="200364"/>
        <n v="200907"/>
        <n v="200416"/>
        <n v="200097"/>
        <n v="200705"/>
        <n v="200649"/>
        <n v="201548"/>
        <n v="200717"/>
        <n v="200409"/>
        <n v="200292"/>
        <n v="201162"/>
        <n v="200528"/>
        <n v="201103"/>
        <n v="200275"/>
        <n v="201082"/>
        <n v="200474"/>
        <n v="201108"/>
        <n v="200938"/>
        <n v="200730"/>
        <n v="200133"/>
        <n v="201229"/>
        <n v="201232"/>
        <n v="201199"/>
        <n v="201156"/>
        <n v="200921"/>
        <n v="200092"/>
        <n v="201354"/>
        <n v="201022"/>
        <n v="200485"/>
        <n v="200365"/>
        <n v="200693"/>
        <n v="200361"/>
        <n v="201613"/>
        <n v="201318"/>
        <n v="200909"/>
        <n v="200055"/>
        <n v="200661"/>
        <n v="200262"/>
        <n v="200079"/>
        <n v="201646"/>
        <n v="201118"/>
        <n v="200250"/>
        <n v="200809"/>
        <n v="200958"/>
        <n v="201560"/>
        <n v="200164"/>
        <n v="200256"/>
        <n v="200232"/>
        <n v="200476"/>
        <n v="200793"/>
        <n v="201342"/>
        <n v="200559"/>
        <n v="201289"/>
        <n v="200612"/>
        <n v="201197"/>
        <n v="201398"/>
        <n v="200521"/>
        <n v="200677"/>
        <n v="201148"/>
        <n v="200864"/>
        <n v="200668"/>
        <n v="200215"/>
        <n v="200040"/>
        <n v="200440"/>
        <n v="200515"/>
        <n v="200373"/>
        <n v="201629"/>
        <n v="201581"/>
        <n v="201371"/>
        <n v="200411"/>
        <n v="201384"/>
        <n v="200142"/>
        <n v="200433"/>
        <n v="201422"/>
        <n v="200615"/>
        <n v="200700"/>
        <n v="201154"/>
        <n v="200554"/>
        <n v="201444"/>
        <n v="200605"/>
        <n v="201268"/>
        <n v="200846"/>
        <n v="200567"/>
        <n v="201486"/>
        <n v="201144"/>
        <n v="201061"/>
        <n v="201547"/>
        <n v="201505"/>
        <n v="201110"/>
        <n v="201026"/>
        <n v="200448"/>
        <n v="201092"/>
        <n v="200842"/>
        <n v="200180"/>
        <n v="200976"/>
        <n v="200352"/>
        <n v="200061"/>
        <n v="200082"/>
        <n v="200883"/>
        <n v="201312"/>
        <n v="200658"/>
        <n v="201501"/>
        <n v="200553"/>
        <n v="200788"/>
        <n v="201049"/>
        <n v="200395"/>
        <n v="200390"/>
        <n v="201254"/>
        <n v="201614"/>
        <n v="201572"/>
        <n v="200901"/>
        <n v="201541"/>
        <n v="201428"/>
        <n v="200177"/>
        <n v="200520"/>
        <n v="200595"/>
        <n v="201496"/>
        <n v="200299"/>
        <n v="200166"/>
        <n v="200791"/>
        <n v="200078"/>
        <n v="200234"/>
        <n v="201313"/>
        <n v="200012"/>
        <n v="200161"/>
        <n v="200046"/>
        <n v="200101"/>
        <n v="200444"/>
        <n v="201212"/>
        <n v="200850"/>
        <n v="200987"/>
        <n v="200172"/>
        <n v="201509"/>
        <n v="200418"/>
        <n v="200283"/>
        <n v="201272"/>
        <n v="201623"/>
        <n v="200550"/>
        <n v="200763"/>
        <n v="200449"/>
        <n v="200651"/>
        <n v="201015"/>
        <n v="200790"/>
        <n v="200811"/>
        <n v="201357"/>
        <n v="201202"/>
        <n v="200396"/>
        <n v="200482"/>
        <n v="200618"/>
        <n v="200510"/>
        <n v="200202"/>
        <n v="200732"/>
        <n v="200794"/>
        <n v="200075"/>
        <n v="201636"/>
        <n v="200903"/>
        <n v="201571"/>
        <n v="200376"/>
        <n v="200508"/>
        <n v="201569"/>
        <n v="200928"/>
        <n v="200128"/>
        <n v="200112"/>
        <n v="200125"/>
        <n v="200392"/>
        <n v="201233"/>
        <n v="200260"/>
        <n v="200145"/>
        <n v="200073"/>
        <n v="201231"/>
        <n v="201482"/>
        <n v="200874"/>
        <n v="201339"/>
        <n v="200544"/>
        <n v="200933"/>
        <n v="200027"/>
        <n v="200776"/>
        <n v="200784"/>
        <n v="200509"/>
        <n v="200720"/>
        <n v="200087"/>
        <n v="201078"/>
        <n v="200425"/>
        <n v="200041"/>
        <n v="200337"/>
        <n v="200975"/>
        <n v="200105"/>
        <n v="200648"/>
        <n v="200585"/>
        <n v="201602"/>
        <n v="200436"/>
        <n v="201430"/>
        <n v="200663"/>
        <n v="201063"/>
        <n v="200170"/>
        <n v="201258"/>
        <n v="201013"/>
        <n v="200858"/>
        <n v="200291"/>
        <n v="200765"/>
        <n v="200593"/>
        <n v="200211"/>
        <n v="200876"/>
        <n v="200995"/>
        <n v="200905"/>
        <n v="200471"/>
        <n v="201456"/>
        <n v="200941"/>
        <n v="200005"/>
        <n v="200374"/>
        <n v="201533"/>
        <n v="201065"/>
        <n v="200584"/>
        <n v="200173"/>
        <n v="200564"/>
        <n v="201334"/>
        <n v="200466"/>
        <n v="200106"/>
        <n v="200207"/>
        <n v="201375"/>
        <n v="200930"/>
        <n v="200772"/>
        <n v="201392"/>
        <n v="200463"/>
        <n v="201153"/>
        <n v="201017"/>
        <n v="200631"/>
        <n v="200675"/>
        <n v="201414"/>
        <n v="201489"/>
        <n v="200452"/>
        <n v="200185"/>
        <n v="200257"/>
        <n v="201639"/>
        <n v="200592"/>
        <n v="200047"/>
        <n v="200432"/>
        <n v="200940"/>
        <n v="200329"/>
        <n v="200749"/>
        <n v="201364"/>
        <n v="201385"/>
        <n v="200338"/>
        <n v="200740"/>
        <n v="200009"/>
        <n v="200382"/>
        <n v="201137"/>
        <n v="200181"/>
        <n v="201328"/>
        <n v="201091"/>
        <n v="201038"/>
        <n v="201333"/>
        <n v="200489"/>
        <n v="201072"/>
        <n v="201453"/>
        <n v="200841"/>
        <n v="200314"/>
        <n v="201001"/>
        <n v="201413"/>
        <n v="200420"/>
        <n v="201020"/>
        <n v="201226"/>
        <n v="201356"/>
        <n v="200159"/>
        <n v="201179"/>
        <n v="200646"/>
        <n v="200111"/>
        <n v="200892"/>
        <n v="201491"/>
        <n v="201173"/>
        <n v="201622"/>
        <n v="201567"/>
        <n v="201512"/>
        <n v="201188"/>
        <n v="200303"/>
        <n v="201217"/>
        <n v="200461"/>
        <n v="200774"/>
        <n v="201266"/>
        <n v="200884"/>
        <n v="200100"/>
        <n v="200745"/>
        <n v="201175"/>
        <n v="200247"/>
        <n v="201288"/>
        <n v="200084"/>
        <n v="201431"/>
        <n v="201446"/>
        <n v="201441"/>
        <n v="201196"/>
        <n v="201564"/>
        <n v="200662"/>
        <n v="201500"/>
        <n v="200704"/>
        <n v="201517"/>
        <n v="201379"/>
        <n v="200862"/>
        <n v="200644"/>
        <n v="201054"/>
        <n v="201637"/>
        <n v="201052"/>
        <n v="201315"/>
        <n v="201225"/>
        <n v="201461"/>
        <n v="200761"/>
        <n v="200434"/>
        <n v="200916"/>
        <n v="201143"/>
        <n v="201114"/>
        <n v="201433"/>
        <n v="200640"/>
        <n v="200760"/>
        <n v="201023"/>
        <n v="201337"/>
        <n v="201438"/>
        <n v="201184"/>
        <n v="201619"/>
        <n v="200226"/>
        <n v="200673"/>
        <n v="201208"/>
        <n v="201104"/>
        <n v="201454"/>
        <n v="201028"/>
        <n v="200738"/>
        <n v="200527"/>
        <n v="200911"/>
        <n v="201376"/>
        <n v="201527"/>
        <n v="200969"/>
        <n v="201402"/>
        <n v="200157"/>
        <n v="201459"/>
        <n v="200810"/>
        <n v="201601"/>
        <n v="200922"/>
        <n v="200547"/>
        <n v="201449"/>
        <n v="200690"/>
        <n v="201335"/>
        <n v="200822"/>
        <n v="200929"/>
        <n v="200894"/>
        <n v="200630"/>
        <n v="201087"/>
        <n v="201111"/>
        <n v="201007"/>
        <n v="201294"/>
        <n v="201417"/>
        <n v="201031"/>
        <n v="200616"/>
        <n v="201447"/>
        <n v="200163"/>
        <n v="200733"/>
        <n v="200578"/>
        <n v="200477"/>
        <n v="201425"/>
        <n v="201504"/>
        <n v="201251"/>
        <n v="200908"/>
        <n v="201580"/>
        <n v="201163"/>
        <n v="200153"/>
        <n v="201269"/>
        <n v="200655"/>
        <n v="201245"/>
        <n v="200441"/>
        <n v="200122"/>
        <n v="200752"/>
        <n v="200613"/>
        <n v="200967"/>
        <n v="200093"/>
        <n v="201319"/>
        <n v="201100"/>
        <n v="201222"/>
        <n v="200031"/>
        <n v="200044"/>
        <n v="200158"/>
        <n v="201586"/>
        <n v="200312"/>
        <n v="200724"/>
        <n v="200890"/>
        <n v="200512"/>
        <n v="201443"/>
        <n v="200897"/>
        <n v="201539"/>
        <n v="201436"/>
        <n v="200070"/>
        <n v="201074"/>
        <n v="201099"/>
        <n v="200236"/>
        <n v="201372"/>
        <n v="200898"/>
        <n v="200685"/>
        <n v="200127"/>
        <n v="200565"/>
        <n v="201255"/>
        <n v="200914"/>
        <n v="200038"/>
        <n v="200455"/>
        <n v="201191"/>
        <n v="201081"/>
        <n v="200264"/>
        <n v="200119"/>
        <n v="201121"/>
        <n v="200847"/>
        <n v="201042"/>
        <n v="200011"/>
        <n v="201387"/>
        <n v="200146"/>
        <n v="201469"/>
        <n v="201632"/>
        <n v="200955"/>
        <n v="200959"/>
        <n v="200555"/>
        <n v="200123"/>
        <n v="201401"/>
        <n v="201273"/>
        <n v="200280"/>
        <n v="201181"/>
        <n v="200322"/>
        <n v="200316"/>
        <n v="201426"/>
        <n v="200865"/>
        <n v="200414"/>
        <n v="201516"/>
        <n v="200331"/>
        <n v="200918"/>
        <n v="201365"/>
        <n v="201279"/>
        <n v="200066"/>
        <n v="201599"/>
        <n v="200853"/>
        <n v="200438"/>
        <n v="201570"/>
        <n v="201093"/>
        <n v="201559"/>
        <n v="201085"/>
        <n v="201147"/>
        <n v="201102"/>
        <n v="200650"/>
        <n v="200184"/>
        <n v="201520"/>
        <n v="200134"/>
        <n v="200014"/>
        <n v="200398"/>
        <n v="200838"/>
        <n v="200350"/>
        <n v="200741"/>
        <n v="200496"/>
        <n v="200103"/>
        <n v="201610"/>
        <n v="200188"/>
        <n v="200120"/>
        <n v="200187"/>
        <n v="200707"/>
        <n v="201359"/>
        <n v="201345"/>
        <n v="200983"/>
        <n v="200391"/>
        <n v="200533"/>
        <n v="200004"/>
        <n v="200943"/>
        <n v="200597"/>
        <n v="201378"/>
        <n v="200926"/>
        <n v="201280"/>
        <n v="200692"/>
        <n v="200936"/>
        <n v="200325"/>
        <n v="200311"/>
        <n v="200671"/>
        <n v="200493"/>
        <n v="201381"/>
        <n v="200490"/>
        <n v="200766"/>
        <n v="201286"/>
        <n v="201346"/>
        <n v="201094"/>
        <n v="200052"/>
        <n v="200893"/>
        <n v="200799"/>
        <n v="201041"/>
        <n v="200407"/>
        <n v="200380"/>
        <n v="201529"/>
        <n v="201495"/>
        <n v="201029"/>
        <n v="200829"/>
        <n v="200108"/>
        <n v="200804"/>
        <n v="201064"/>
        <n v="200043"/>
        <n v="200443"/>
        <n v="200368"/>
        <n v="200659"/>
        <n v="201053"/>
        <n v="200819"/>
        <n v="200465"/>
        <n v="200944"/>
        <n v="200344"/>
        <n v="201327"/>
        <n v="200152"/>
        <n v="200896"/>
        <n v="200033"/>
        <n v="200535"/>
        <n v="200996"/>
        <n v="201079"/>
        <n v="200213"/>
        <n v="201624"/>
        <n v="200071"/>
        <n v="200021"/>
        <n v="200734"/>
        <n v="200679"/>
        <n v="201284"/>
        <n v="200240"/>
        <n v="201088"/>
        <n v="201192"/>
        <n v="200502"/>
        <n v="201640"/>
        <n v="201420"/>
        <n v="200366"/>
        <n v="200934"/>
        <n v="200462"/>
        <n v="201603"/>
        <n v="200965"/>
        <n v="201177"/>
        <n v="201037"/>
        <n v="200711"/>
        <n v="200541"/>
        <n v="200281"/>
        <n v="200737"/>
        <n v="200953"/>
        <n v="201050"/>
        <n v="201073"/>
        <n v="200010"/>
        <n v="200500"/>
        <n v="201071"/>
        <n v="200525"/>
        <n v="200369"/>
        <n v="201045"/>
        <n v="200268"/>
        <n v="200328"/>
        <n v="201609"/>
        <n v="201009"/>
        <n v="201068"/>
        <n v="201295"/>
        <n v="200081"/>
        <n v="201281"/>
        <n v="200341"/>
        <n v="201565"/>
        <n v="200886"/>
        <n v="201136"/>
        <n v="200445"/>
        <n v="200992"/>
        <n v="200993"/>
        <n v="200499"/>
        <n v="200456"/>
        <n v="200848"/>
        <n v="200574"/>
        <n v="200855"/>
        <n v="200203"/>
        <n v="200083"/>
        <n v="200259"/>
        <n v="200198"/>
        <n v="200424"/>
        <n v="201075"/>
        <n v="200343"/>
        <n v="200806"/>
        <n v="200904"/>
        <n v="200820"/>
        <n v="201612"/>
        <n v="200945"/>
        <n v="201411"/>
        <n v="201606"/>
        <n v="200538"/>
        <n v="200833"/>
        <n v="201084"/>
        <n v="201418"/>
        <n v="201178"/>
        <n v="201159"/>
        <n v="200808"/>
        <n v="200497"/>
        <n v="201587"/>
        <n v="201018"/>
        <n v="201187"/>
        <n v="200545"/>
        <n v="201458"/>
        <n v="200095"/>
        <n v="200162"/>
        <n v="200324"/>
        <n v="200895"/>
        <n v="201113"/>
        <n v="201530"/>
        <n v="201649"/>
        <n v="201261"/>
        <n v="201390"/>
        <n v="200789"/>
        <n v="201138"/>
        <n v="200718"/>
        <n v="200015"/>
        <n v="201578"/>
        <n v="200255"/>
        <n v="201412"/>
        <n v="200169"/>
        <n v="200537"/>
        <n v="200529"/>
        <n v="200968"/>
        <n v="201215"/>
        <n v="200401"/>
        <n v="201125"/>
        <n v="200571"/>
        <n v="200710"/>
        <n v="200629"/>
        <n v="200942"/>
        <n v="200339"/>
        <n v="201014"/>
        <n v="201474"/>
        <n v="200284"/>
        <n v="201214"/>
        <n v="200214"/>
        <n v="201161"/>
        <n v="201308"/>
        <n v="201252"/>
        <n v="201593"/>
        <n v="201563"/>
        <n v="200309"/>
        <n v="200623"/>
        <n v="200036"/>
        <n v="200019"/>
        <n v="201620"/>
        <n v="200224"/>
        <n v="201000"/>
        <n v="201301"/>
        <n v="201383"/>
        <n v="200326"/>
        <n v="200001"/>
        <n v="200826"/>
        <n v="201046"/>
        <n v="200713"/>
        <n v="200459"/>
        <n v="200450"/>
        <n v="200531"/>
        <n v="200758"/>
        <n v="200852"/>
        <n v="201168"/>
        <n v="200762"/>
        <n v="200742"/>
        <n v="200736"/>
        <n v="200494"/>
        <n v="201116"/>
        <n v="201507"/>
        <n v="201151"/>
        <n v="200628"/>
        <n v="200534"/>
        <n v="200360"/>
        <n v="200572"/>
        <n v="201481"/>
        <n v="201203"/>
        <n v="200974"/>
        <n v="201089"/>
        <n v="201044"/>
        <n v="200110"/>
        <n v="200674"/>
        <n v="200815"/>
        <n v="201568"/>
        <n v="200636"/>
        <n v="200342"/>
        <n v="201133"/>
        <n v="200305"/>
        <n v="200949"/>
        <n v="201076"/>
        <n v="201325"/>
        <n v="201166"/>
        <n v="200633"/>
        <n v="200296"/>
        <n v="200882"/>
        <n v="200831"/>
        <n v="200248"/>
        <n v="201515"/>
        <n v="200243"/>
        <n v="201607"/>
        <n v="201248"/>
        <n v="200587"/>
        <n v="201369"/>
        <n v="201382"/>
        <n v="200480"/>
        <n v="200805"/>
        <n v="200388"/>
        <n v="201278"/>
        <n v="200915"/>
        <n v="200371"/>
        <n v="200823"/>
        <n v="201525"/>
        <n v="201067"/>
        <n v="200356"/>
        <n v="200045"/>
        <n v="201307"/>
        <n v="200225"/>
        <n v="201576"/>
        <n v="200552"/>
        <n v="201195"/>
        <n v="201145"/>
        <n v="200824"/>
        <n v="200018"/>
        <n v="200966"/>
        <n v="201542"/>
        <n v="201493"/>
        <n v="200573"/>
        <n v="201201"/>
        <n v="201247"/>
        <n v="200764"/>
        <n v="200768"/>
        <n v="201625"/>
        <n v="201119"/>
        <n v="201210"/>
        <n v="201598"/>
        <n v="201183"/>
        <n v="201253"/>
        <n v="200282"/>
        <n v="201275"/>
        <n v="200560"/>
        <n v="200972"/>
        <n v="200136"/>
        <n v="200843"/>
        <n v="201600"/>
        <n v="200246"/>
        <n v="200148"/>
        <n v="201351"/>
        <n v="200910"/>
        <n v="201450"/>
        <n v="201448"/>
        <n v="201326"/>
        <n v="201167"/>
        <n v="200570"/>
        <n v="200964"/>
        <n v="201083"/>
        <n v="200054"/>
        <n v="200889"/>
        <n v="201577"/>
        <n v="200937"/>
        <n v="201306"/>
        <n v="200072"/>
        <n v="201591"/>
        <n v="201366"/>
        <n v="201070"/>
        <n v="201134"/>
        <n v="201186"/>
        <n v="200706"/>
        <n v="200881"/>
        <n v="201204"/>
        <n v="200129"/>
        <n v="201106"/>
        <n v="200422"/>
        <n v="201510"/>
        <n v="200439"/>
        <n v="200113"/>
        <n v="201463"/>
        <n v="200563"/>
        <n v="200182"/>
        <n v="201003"/>
        <n v="201270"/>
        <n v="200624"/>
        <n v="201521"/>
        <n v="200887"/>
        <n v="201352"/>
        <n v="201257"/>
        <n v="201069"/>
        <n v="201423"/>
        <n v="200115"/>
        <n v="201358"/>
        <n v="200715"/>
        <n v="201219"/>
        <n v="200426"/>
        <n v="201561"/>
        <n v="201338"/>
        <n v="201445"/>
        <n v="200731"/>
        <n v="200056"/>
        <n v="200961"/>
        <n v="200049"/>
        <n v="200982"/>
        <n v="201170"/>
        <n v="200222"/>
        <n v="200091"/>
        <n v="200963"/>
        <n v="201551"/>
        <n v="200888"/>
        <n v="201182"/>
        <n v="200516"/>
        <n v="200588"/>
        <n v="200748"/>
        <n v="200141"/>
        <n v="200194"/>
        <n v="200779"/>
        <n v="200716"/>
        <n v="200336"/>
        <n v="200836"/>
        <n v="200860"/>
        <n v="201128"/>
        <n v="201492"/>
        <n v="200869"/>
        <n v="200781"/>
        <n v="201169"/>
        <n v="200201"/>
        <n v="200979"/>
        <n v="200273"/>
        <n v="201647"/>
        <n v="200532"/>
        <n v="201131"/>
        <n v="201095"/>
        <n v="201008"/>
        <n v="200558"/>
        <n v="201244"/>
        <n v="201476"/>
        <n v="201055"/>
        <n v="201117"/>
        <n v="200458"/>
        <n v="201267"/>
        <n v="200363"/>
        <n v="200952"/>
        <n v="200782"/>
        <n v="201086"/>
        <n v="200216"/>
        <n v="200854"/>
        <n v="200132"/>
        <n v="201360"/>
        <n v="200697"/>
        <n v="201595"/>
        <n v="201126"/>
        <n v="200351"/>
        <n v="200333"/>
        <n v="201437"/>
        <n v="200973"/>
        <n v="201373"/>
        <n v="201393"/>
        <n v="200431"/>
        <n v="200994"/>
        <n v="201502"/>
        <n v="200389"/>
        <n v="201330"/>
        <n v="201341"/>
        <n v="200479"/>
        <n v="200007"/>
        <n v="200210"/>
        <n v="200582"/>
        <n v="201348"/>
        <n v="200209"/>
        <n v="200300"/>
        <n v="200000"/>
        <n v="200998"/>
        <n v="201440"/>
        <n v="201135"/>
        <n v="201549"/>
        <n v="200971"/>
        <n v="201410"/>
        <n v="200524"/>
        <n v="201309"/>
        <n v="201513"/>
        <n v="200138"/>
        <n v="201503"/>
        <n v="200924"/>
        <n v="200581"/>
        <n v="201550"/>
        <n v="200619"/>
        <n v="200726"/>
        <n v="200872"/>
        <n v="201349"/>
        <n v="200025"/>
        <n v="200543"/>
        <n v="200769"/>
        <n v="200900"/>
        <n v="200483"/>
        <n v="201523"/>
        <n v="200840"/>
        <n v="200614"/>
        <n v="201556"/>
        <n v="200647"/>
        <n v="200346"/>
        <n v="200313"/>
        <n v="200549"/>
        <n v="201193"/>
        <n v="200608"/>
        <n v="201532"/>
        <n v="201242"/>
        <n v="200682"/>
        <n v="200098"/>
        <n v="201282"/>
        <n v="201291"/>
        <n v="200859"/>
        <n v="200580"/>
        <n v="201478"/>
        <n v="201407"/>
        <n v="200017"/>
        <n v="201264"/>
        <n v="201277"/>
        <n v="201650"/>
        <n v="200997"/>
        <n v="201468"/>
        <n v="201205"/>
        <n v="200165"/>
        <n v="200413"/>
        <n v="200845"/>
        <n v="201608"/>
        <n v="201122"/>
        <n v="200367"/>
        <n v="200355"/>
        <n v="200951"/>
        <n v="201024"/>
        <n v="200196"/>
        <n v="200721"/>
        <n v="201415"/>
        <n v="200026"/>
        <n v="201332"/>
        <n v="200747"/>
        <n v="200359"/>
        <n v="200155"/>
        <n v="200175"/>
        <n v="201012"/>
        <n v="200384"/>
        <n v="200701"/>
        <n v="201582"/>
        <n v="200085"/>
        <n v="200294"/>
        <n v="200149"/>
        <n v="200678"/>
        <n v="201630"/>
        <n v="201302"/>
        <n v="200399"/>
        <n v="201090"/>
        <n v="200024"/>
        <n v="200828"/>
        <n v="200151"/>
        <n v="200405"/>
        <n v="201129"/>
        <n v="200586"/>
        <n v="200239"/>
        <n v="200059"/>
        <n v="201098"/>
        <n v="200727"/>
        <n v="200464"/>
        <n v="200064"/>
        <n v="201010"/>
        <n v="201526"/>
        <n v="201399"/>
        <n v="201645"/>
        <n v="200759"/>
        <n v="201062"/>
        <n v="200878"/>
        <n v="200238"/>
        <n v="200263"/>
        <n v="201540"/>
        <n v="201158"/>
        <n v="201442"/>
        <n v="200948"/>
        <n v="201590"/>
        <n v="200460"/>
        <n v="200935"/>
        <n v="200783"/>
        <n v="200746"/>
        <n v="201310"/>
        <n v="200495"/>
        <n v="200241"/>
        <n v="201343"/>
        <n v="200028"/>
        <n v="200077"/>
        <n v="200913"/>
        <n v="200295"/>
        <n v="201311"/>
        <n v="201592"/>
        <n v="201260"/>
        <n v="200856"/>
        <n v="201353"/>
        <n v="200192"/>
        <n v="200906"/>
        <n v="200230"/>
        <n v="201522"/>
        <n v="201400"/>
        <n v="200980"/>
        <n v="200816"/>
        <n v="200242"/>
        <n v="200635"/>
        <n v="201262"/>
        <n v="200076"/>
        <n v="201298"/>
        <n v="201164"/>
        <n v="200272"/>
        <n v="200269"/>
        <n v="201648"/>
        <n v="200861"/>
        <n v="201002"/>
        <n v="200498"/>
        <n v="201545"/>
        <n v="201246"/>
        <n v="200470"/>
        <n v="201575"/>
        <n v="201036"/>
        <n v="201056"/>
        <n v="200813"/>
        <n v="200051"/>
        <n v="200472"/>
        <n v="200089"/>
        <n v="200167"/>
        <n v="200069"/>
        <n v="200885"/>
        <n v="200518"/>
        <n v="200429"/>
        <n v="201536"/>
        <n v="200030"/>
        <n v="200621"/>
        <n v="200393"/>
        <n v="201165"/>
        <n v="201223"/>
        <n v="200156"/>
        <n v="200454"/>
        <n v="200176"/>
        <n v="200473"/>
        <n v="201329"/>
        <n v="201005"/>
        <n v="201429"/>
        <n v="200566"/>
        <n v="200506"/>
        <n v="200231"/>
        <n v="200383"/>
        <n v="200551"/>
        <n v="201465"/>
        <n v="200596"/>
        <n v="200985"/>
        <n v="201537"/>
        <n v="201589"/>
        <n v="200821"/>
        <n v="200670"/>
        <n v="201150"/>
        <n v="200375"/>
        <n v="200902"/>
        <n v="201409"/>
        <n v="200728"/>
        <n v="200681"/>
        <n v="200237"/>
        <n v="200837"/>
        <n v="201596"/>
        <n v="200109"/>
        <n v="201299"/>
        <n v="200684"/>
        <n v="200699"/>
        <n v="201218"/>
        <n v="201611"/>
        <n v="200863"/>
        <n v="201391"/>
        <n v="201019"/>
        <n v="201574"/>
        <n v="200960"/>
        <n v="200323"/>
        <n v="201259"/>
        <n v="200104"/>
        <n v="200468"/>
        <n v="200956"/>
        <n v="201033"/>
        <n v="200310"/>
        <n v="200143"/>
        <n v="200277"/>
        <n v="201228"/>
        <n v="201303"/>
        <n v="200130"/>
        <n v="200803"/>
        <n v="200258"/>
        <n v="201557"/>
        <n v="201584"/>
        <n v="200694"/>
        <n v="200298"/>
        <n v="201293"/>
        <n v="200274"/>
        <n v="200542"/>
        <n v="201579"/>
        <n v="200003"/>
        <n v="201127"/>
        <n v="200669"/>
        <n v="200513"/>
        <n v="201460"/>
        <n v="200757"/>
        <n v="201320"/>
      </sharedItems>
    </cacheField>
    <cacheField name="Исходящие операции" numFmtId="0">
      <sharedItems containsSemiMixedTypes="0" containsString="0" containsNumber="1" containsInteger="1" minValue="14" maxValue="80"/>
    </cacheField>
    <cacheField name="Исходящая сумма" numFmtId="2">
      <sharedItems containsSemiMixedTypes="0" containsString="0" containsNumber="1" minValue="34322.85" maxValue="193859.65"/>
    </cacheField>
    <cacheField name="Входящие операции" numFmtId="0">
      <sharedItems containsSemiMixedTypes="0" containsString="0" containsNumber="1" containsInteger="1" minValue="12" maxValue="74"/>
    </cacheField>
    <cacheField name="Входящая сумма" numFmtId="2">
      <sharedItems containsSemiMixedTypes="0" containsString="0" containsNumber="1" minValue="20989.919999999998" maxValue="183047.66"/>
    </cacheField>
    <cacheField name="Общий оборот" numFmtId="2">
      <sharedItems containsSemiMixedTypes="0" containsString="0" containsNumber="1" minValue="70377.89" maxValue="363142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Эльдорадо" refreshedDate="46257.869149537037" createdVersion="8" refreshedVersion="8" minRefreshableVersion="3" recordCount="862" xr:uid="{79CC2BB4-BCAF-4492-AC17-D7C94D6ECDA0}">
  <cacheSource type="worksheet">
    <worksheetSource name="tblCustomerActivity"/>
  </cacheSource>
  <cacheFields count="4">
    <cacheField name="ID клиента" numFmtId="0">
      <sharedItems containsSemiMixedTypes="0" containsString="0" containsNumber="1" containsInteger="1" minValue="10000" maxValue="11099" count="862">
        <n v="10458"/>
        <n v="10324"/>
        <n v="11038"/>
        <n v="10297"/>
        <n v="11090"/>
        <n v="10760"/>
        <n v="10909"/>
        <n v="10226"/>
        <n v="10298"/>
        <n v="10895"/>
        <n v="10035"/>
        <n v="10899"/>
        <n v="10142"/>
        <n v="10106"/>
        <n v="10183"/>
        <n v="10574"/>
        <n v="10603"/>
        <n v="10739"/>
        <n v="10155"/>
        <n v="10351"/>
        <n v="10446"/>
        <n v="10072"/>
        <n v="10374"/>
        <n v="10441"/>
        <n v="10571"/>
        <n v="10686"/>
        <n v="10545"/>
        <n v="11083"/>
        <n v="10518"/>
        <n v="10404"/>
        <n v="10002"/>
        <n v="10198"/>
        <n v="11078"/>
        <n v="10821"/>
        <n v="10468"/>
        <n v="10023"/>
        <n v="11000"/>
        <n v="11019"/>
        <n v="10925"/>
        <n v="10207"/>
        <n v="10384"/>
        <n v="10331"/>
        <n v="10972"/>
        <n v="10667"/>
        <n v="10963"/>
        <n v="10401"/>
        <n v="10262"/>
        <n v="10576"/>
        <n v="10893"/>
        <n v="10818"/>
        <n v="11027"/>
        <n v="10797"/>
        <n v="10687"/>
        <n v="10997"/>
        <n v="10071"/>
        <n v="10857"/>
        <n v="10329"/>
        <n v="10349"/>
        <n v="10535"/>
        <n v="10565"/>
        <n v="10584"/>
        <n v="10670"/>
        <n v="10694"/>
        <n v="10179"/>
        <n v="10734"/>
        <n v="10160"/>
        <n v="10996"/>
        <n v="10125"/>
        <n v="10229"/>
        <n v="10427"/>
        <n v="10177"/>
        <n v="10741"/>
        <n v="10906"/>
        <n v="10511"/>
        <n v="10526"/>
        <n v="10335"/>
        <n v="10838"/>
        <n v="10236"/>
        <n v="10368"/>
        <n v="10706"/>
        <n v="11046"/>
        <n v="10227"/>
        <n v="10773"/>
        <n v="10649"/>
        <n v="10575"/>
        <n v="11092"/>
        <n v="10813"/>
        <n v="10819"/>
        <n v="10541"/>
        <n v="10357"/>
        <n v="10892"/>
        <n v="10573"/>
        <n v="10494"/>
        <n v="10956"/>
        <n v="10766"/>
        <n v="10048"/>
        <n v="10133"/>
        <n v="10205"/>
        <n v="10557"/>
        <n v="10543"/>
        <n v="10506"/>
        <n v="10287"/>
        <n v="10343"/>
        <n v="11030"/>
        <n v="10478"/>
        <n v="10933"/>
        <n v="10418"/>
        <n v="10459"/>
        <n v="10738"/>
        <n v="10395"/>
        <n v="10283"/>
        <n v="11086"/>
        <n v="10707"/>
        <n v="11051"/>
        <n v="10800"/>
        <n v="10058"/>
        <n v="10293"/>
        <n v="10551"/>
        <n v="10637"/>
        <n v="10710"/>
        <n v="10908"/>
        <n v="10286"/>
        <n v="11081"/>
        <n v="10024"/>
        <n v="10727"/>
        <n v="10107"/>
        <n v="10774"/>
        <n v="10662"/>
        <n v="10749"/>
        <n v="10904"/>
        <n v="10524"/>
        <n v="10894"/>
        <n v="10390"/>
        <n v="10369"/>
        <n v="10624"/>
        <n v="10913"/>
        <n v="10423"/>
        <n v="10655"/>
        <n v="10431"/>
        <n v="10392"/>
        <n v="10280"/>
        <n v="10495"/>
        <n v="10745"/>
        <n v="11080"/>
        <n v="10075"/>
        <n v="10061"/>
        <n v="10199"/>
        <n v="10502"/>
        <n v="11097"/>
        <n v="10436"/>
        <n v="11022"/>
        <n v="10842"/>
        <n v="10740"/>
        <n v="10045"/>
        <n v="10485"/>
        <n v="10338"/>
        <n v="10729"/>
        <n v="10010"/>
        <n v="10135"/>
        <n v="10515"/>
        <n v="10966"/>
        <n v="10174"/>
        <n v="10643"/>
        <n v="11008"/>
        <n v="10593"/>
        <n v="10822"/>
        <n v="10143"/>
        <n v="10561"/>
        <n v="10703"/>
        <n v="10596"/>
        <n v="10248"/>
        <n v="10224"/>
        <n v="10867"/>
        <n v="10243"/>
        <n v="11076"/>
        <n v="10568"/>
        <n v="10719"/>
        <n v="10602"/>
        <n v="10141"/>
        <n v="11068"/>
        <n v="10006"/>
        <n v="10840"/>
        <n v="10634"/>
        <n v="10112"/>
        <n v="10887"/>
        <n v="10529"/>
        <n v="10308"/>
        <n v="10939"/>
        <n v="10952"/>
        <n v="11039"/>
        <n v="10266"/>
        <n v="10730"/>
        <n v="10053"/>
        <n v="10500"/>
        <n v="10103"/>
        <n v="10299"/>
        <n v="10209"/>
        <n v="10274"/>
        <n v="10726"/>
        <n v="10091"/>
        <n v="10947"/>
        <n v="10399"/>
        <n v="10873"/>
        <n v="10556"/>
        <n v="10848"/>
        <n v="10920"/>
        <n v="10066"/>
        <n v="10397"/>
        <n v="10306"/>
        <n v="11032"/>
        <n v="10009"/>
        <n v="10161"/>
        <n v="10128"/>
        <n v="10528"/>
        <n v="10387"/>
        <n v="11014"/>
        <n v="10326"/>
        <n v="10582"/>
        <n v="10296"/>
        <n v="10396"/>
        <n v="10850"/>
        <n v="10859"/>
        <n v="10345"/>
        <n v="10642"/>
        <n v="10758"/>
        <n v="10958"/>
        <n v="10671"/>
        <n v="10716"/>
        <n v="10865"/>
        <n v="10976"/>
        <n v="10891"/>
        <n v="10903"/>
        <n v="11064"/>
        <n v="10677"/>
        <n v="10692"/>
        <n v="10833"/>
        <n v="10567"/>
        <n v="10439"/>
        <n v="10443"/>
        <n v="10498"/>
        <n v="10900"/>
        <n v="10126"/>
        <n v="10178"/>
        <n v="10113"/>
        <n v="10471"/>
        <n v="10231"/>
        <n v="10047"/>
        <n v="10393"/>
        <n v="10036"/>
        <n v="10060"/>
        <n v="10258"/>
        <n v="10414"/>
        <n v="10159"/>
        <n v="10902"/>
        <n v="10330"/>
        <n v="10020"/>
        <n v="10751"/>
        <n v="10445"/>
        <n v="10550"/>
        <n v="10497"/>
        <n v="10383"/>
        <n v="10188"/>
        <n v="10362"/>
        <n v="10030"/>
        <n v="10795"/>
        <n v="10056"/>
        <n v="10674"/>
        <n v="10620"/>
        <n v="10361"/>
        <n v="10156"/>
        <n v="10943"/>
        <n v="10691"/>
        <n v="10204"/>
        <n v="10704"/>
        <n v="10896"/>
        <n v="10728"/>
        <n v="10998"/>
        <n v="10379"/>
        <n v="10552"/>
        <n v="10210"/>
        <n v="10883"/>
        <n v="10953"/>
        <n v="10604"/>
        <n v="10004"/>
        <n v="10845"/>
        <n v="10676"/>
        <n v="10378"/>
        <n v="10948"/>
        <n v="10062"/>
        <n v="11095"/>
        <n v="10538"/>
        <n v="10753"/>
        <n v="10803"/>
        <n v="10448"/>
        <n v="10295"/>
        <n v="10669"/>
        <n v="10708"/>
        <n v="10241"/>
        <n v="11015"/>
        <n v="10428"/>
        <n v="11018"/>
        <n v="10592"/>
        <n v="10147"/>
        <n v="10501"/>
        <n v="11049"/>
        <n v="10617"/>
        <n v="10519"/>
        <n v="10109"/>
        <n v="10110"/>
        <n v="10409"/>
        <n v="10937"/>
        <n v="10864"/>
        <n v="10834"/>
        <n v="10491"/>
        <n v="10990"/>
        <n v="11010"/>
        <n v="10187"/>
        <n v="10461"/>
        <n v="10092"/>
        <n v="10599"/>
        <n v="10484"/>
        <n v="10407"/>
        <n v="10616"/>
        <n v="10935"/>
        <n v="10050"/>
        <n v="10851"/>
        <n v="10672"/>
        <n v="10912"/>
        <n v="10690"/>
        <n v="10046"/>
        <n v="10284"/>
        <n v="10666"/>
        <n v="10067"/>
        <n v="10810"/>
        <n v="11082"/>
        <n v="10783"/>
        <n v="10419"/>
        <n v="10562"/>
        <n v="10807"/>
        <n v="10860"/>
        <n v="10315"/>
        <n v="10153"/>
        <n v="10779"/>
        <n v="10934"/>
        <n v="10820"/>
        <n v="11013"/>
        <n v="10158"/>
        <n v="10139"/>
        <n v="11043"/>
        <n v="10931"/>
        <n v="10982"/>
        <n v="10746"/>
        <n v="10748"/>
        <n v="10718"/>
        <n v="10880"/>
        <n v="10764"/>
        <n v="10475"/>
        <n v="10425"/>
        <n v="10275"/>
        <n v="10037"/>
        <n v="10631"/>
        <n v="10288"/>
        <n v="10792"/>
        <n v="10940"/>
        <n v="10579"/>
        <n v="10256"/>
        <n v="10312"/>
        <n v="10971"/>
        <n v="11007"/>
        <n v="10978"/>
        <n v="10253"/>
        <n v="10027"/>
        <n v="10781"/>
        <n v="10914"/>
        <n v="11041"/>
        <n v="10798"/>
        <n v="10359"/>
        <n v="10583"/>
        <n v="10930"/>
        <n v="10122"/>
        <n v="11058"/>
        <n v="10477"/>
        <n v="10645"/>
        <n v="10389"/>
        <n v="10780"/>
        <n v="10334"/>
        <n v="10974"/>
        <n v="10096"/>
        <n v="10151"/>
        <n v="10412"/>
        <n v="10114"/>
        <n v="10503"/>
        <n v="10612"/>
        <n v="10784"/>
        <n v="10352"/>
        <n v="10225"/>
        <n v="10245"/>
        <n v="10285"/>
        <n v="10460"/>
        <n v="10437"/>
        <n v="10839"/>
        <n v="10632"/>
        <n v="10451"/>
        <n v="10700"/>
        <n v="10333"/>
        <n v="10697"/>
        <n v="10605"/>
        <n v="10586"/>
        <n v="10991"/>
        <n v="10398"/>
        <n v="10651"/>
        <n v="10150"/>
        <n v="10171"/>
        <n v="10213"/>
        <n v="10267"/>
        <n v="10488"/>
        <n v="10608"/>
        <n v="10219"/>
        <n v="10341"/>
        <n v="10246"/>
        <n v="10504"/>
        <n v="10189"/>
        <n v="10263"/>
        <n v="10216"/>
        <n v="10130"/>
        <n v="10218"/>
        <n v="10472"/>
        <n v="11017"/>
        <n v="10323"/>
        <n v="10417"/>
        <n v="10411"/>
        <n v="10457"/>
        <n v="10083"/>
        <n v="10318"/>
        <n v="10628"/>
        <n v="10578"/>
        <n v="10493"/>
        <n v="10693"/>
        <n v="11020"/>
        <n v="10743"/>
        <n v="10164"/>
        <n v="10148"/>
        <n v="10043"/>
        <n v="10321"/>
        <n v="10832"/>
        <n v="10923"/>
        <n v="10194"/>
        <n v="10659"/>
        <n v="11065"/>
        <n v="10223"/>
        <n v="10856"/>
        <n v="11029"/>
        <n v="11003"/>
        <n v="10951"/>
        <n v="10705"/>
        <n v="11036"/>
        <n v="10203"/>
        <n v="11044"/>
        <n v="10532"/>
        <n v="10099"/>
        <n v="10898"/>
        <n v="10681"/>
        <n v="10290"/>
        <n v="10936"/>
        <n v="10836"/>
        <n v="10989"/>
        <n v="10639"/>
        <n v="10636"/>
        <n v="10762"/>
        <n v="10767"/>
        <n v="10843"/>
        <n v="10426"/>
        <n v="10512"/>
        <n v="10039"/>
        <n v="10609"/>
        <n v="10680"/>
        <n v="10347"/>
        <n v="10558"/>
        <n v="10841"/>
        <n v="10611"/>
        <n v="10449"/>
        <n v="10367"/>
        <n v="10307"/>
        <n v="10454"/>
        <n v="10105"/>
        <n v="10492"/>
        <n v="10770"/>
        <n v="10808"/>
        <n v="10302"/>
        <n v="10585"/>
        <n v="10522"/>
        <n v="10316"/>
        <n v="10816"/>
        <n v="10336"/>
        <n v="10699"/>
        <n v="10950"/>
        <n v="10520"/>
        <n v="10470"/>
        <n v="10817"/>
        <n v="10270"/>
        <n v="10731"/>
        <n v="10011"/>
        <n v="11048"/>
        <n v="10785"/>
        <n v="10272"/>
        <n v="10429"/>
        <n v="10026"/>
        <n v="10988"/>
        <n v="10028"/>
        <n v="10675"/>
        <n v="10473"/>
        <n v="10278"/>
        <n v="10829"/>
        <n v="10777"/>
        <n v="10861"/>
        <n v="10723"/>
        <n v="10230"/>
        <n v="10754"/>
        <n v="10724"/>
        <n v="10702"/>
        <n v="11016"/>
        <n v="10265"/>
        <n v="10322"/>
        <n v="10627"/>
        <n v="10938"/>
        <n v="10814"/>
        <n v="10086"/>
        <n v="10003"/>
        <n v="10549"/>
        <n v="10377"/>
        <n v="10919"/>
        <n v="10123"/>
        <n v="10650"/>
        <n v="10890"/>
        <n v="10530"/>
        <n v="11025"/>
        <n v="11055"/>
        <n v="10175"/>
        <n v="10981"/>
        <n v="10181"/>
        <n v="10721"/>
        <n v="10077"/>
        <n v="10215"/>
        <n v="11091"/>
        <n v="11066"/>
        <n v="10580"/>
        <n v="10866"/>
        <n v="10915"/>
        <n v="10332"/>
        <n v="10882"/>
        <n v="10402"/>
        <n v="10486"/>
        <n v="10014"/>
        <n v="10386"/>
        <n v="10594"/>
        <n v="10496"/>
        <n v="10927"/>
        <n v="10380"/>
        <n v="10736"/>
        <n v="11012"/>
        <n v="11057"/>
        <n v="10875"/>
        <n v="10032"/>
        <n v="10544"/>
        <n v="10413"/>
        <n v="10184"/>
        <n v="10244"/>
        <n v="10685"/>
        <n v="10264"/>
        <n v="10722"/>
        <n v="10465"/>
        <n v="10897"/>
        <n v="10366"/>
        <n v="10806"/>
        <n v="10013"/>
        <n v="10615"/>
        <n v="10876"/>
        <n v="10853"/>
        <n v="10420"/>
        <n v="10462"/>
        <n v="10049"/>
        <n v="10830"/>
        <n v="11061"/>
        <n v="10257"/>
        <n v="10863"/>
        <n v="11062"/>
        <n v="10942"/>
        <n v="10799"/>
        <n v="10566"/>
        <n v="10348"/>
        <n v="10463"/>
        <n v="10537"/>
        <n v="10433"/>
        <n v="10415"/>
        <n v="10435"/>
        <n v="10375"/>
        <n v="11004"/>
        <n v="10776"/>
        <n v="10794"/>
        <n v="10337"/>
        <n v="10610"/>
        <n v="10862"/>
        <n v="10757"/>
        <n v="10410"/>
        <n v="10140"/>
        <n v="10747"/>
        <n v="11024"/>
        <n v="10661"/>
        <n v="10464"/>
        <n v="10635"/>
        <n v="10570"/>
        <n v="10182"/>
        <n v="10016"/>
        <n v="10525"/>
        <n v="10466"/>
        <n v="10796"/>
        <n v="10000"/>
        <n v="10255"/>
        <n v="10984"/>
        <n v="10325"/>
        <n v="10994"/>
        <n v="10127"/>
        <n v="10340"/>
        <n v="10932"/>
        <n v="10438"/>
        <n v="10499"/>
        <n v="10855"/>
        <n v="10564"/>
        <n v="11077"/>
        <n v="10742"/>
        <n v="10481"/>
        <n v="10870"/>
        <n v="10824"/>
        <n v="10277"/>
        <n v="10021"/>
        <n v="10001"/>
        <n v="11037"/>
        <n v="10929"/>
        <n v="10614"/>
        <n v="10455"/>
        <n v="10678"/>
        <n v="10388"/>
        <n v="10452"/>
        <n v="10079"/>
        <n v="10018"/>
        <n v="10319"/>
        <n v="10786"/>
        <n v="10117"/>
        <n v="10041"/>
        <n v="10422"/>
        <n v="11073"/>
        <n v="11002"/>
        <n v="10709"/>
        <n v="10802"/>
        <n v="11053"/>
        <n v="11050"/>
        <n v="10986"/>
        <n v="10327"/>
        <n v="10993"/>
        <n v="10102"/>
        <n v="10273"/>
        <n v="11084"/>
        <n v="10992"/>
        <n v="10852"/>
        <n v="10282"/>
        <n v="10442"/>
        <n v="10534"/>
        <n v="10664"/>
        <n v="10907"/>
        <n v="10540"/>
        <n v="10490"/>
        <n v="10750"/>
        <n v="10279"/>
        <n v="10688"/>
        <n v="10881"/>
        <n v="10440"/>
        <n v="10276"/>
        <n v="10093"/>
        <n v="10353"/>
        <n v="10082"/>
        <n v="10320"/>
        <n v="10372"/>
        <n v="10185"/>
        <n v="10910"/>
        <n v="10054"/>
        <n v="10235"/>
        <n v="10911"/>
        <n v="10237"/>
        <n v="10220"/>
        <n v="10507"/>
        <n v="10186"/>
        <n v="10206"/>
        <n v="11034"/>
        <n v="10382"/>
        <n v="10600"/>
        <n v="10967"/>
        <n v="10618"/>
        <n v="10447"/>
        <n v="10145"/>
        <n v="10514"/>
        <n v="10044"/>
        <n v="10228"/>
        <n v="10968"/>
        <n v="10012"/>
        <n v="10394"/>
        <n v="10985"/>
        <n v="10768"/>
        <n v="10922"/>
        <n v="10771"/>
        <n v="10146"/>
        <n v="10078"/>
        <n v="10962"/>
        <n v="10877"/>
        <n v="10328"/>
        <n v="10087"/>
        <n v="10111"/>
        <n v="11023"/>
        <n v="10811"/>
        <n v="10633"/>
        <n v="11021"/>
        <n v="10713"/>
        <n v="10196"/>
        <n v="10088"/>
        <n v="10869"/>
        <n v="10889"/>
        <n v="10789"/>
        <n v="11063"/>
        <n v="10647"/>
        <n v="10432"/>
        <n v="11040"/>
        <n v="10505"/>
        <n v="10712"/>
        <n v="10360"/>
        <n v="10625"/>
        <n v="10104"/>
        <n v="10051"/>
        <n v="10995"/>
        <n v="10928"/>
        <n v="10945"/>
        <n v="10251"/>
        <n v="10755"/>
        <n v="10657"/>
        <n v="10735"/>
        <n v="10926"/>
        <n v="10823"/>
        <n v="10698"/>
        <n v="10242"/>
        <n v="10356"/>
        <n v="10301"/>
        <n v="10656"/>
        <n v="10421"/>
        <n v="10124"/>
        <n v="10555"/>
        <n v="10350"/>
        <n v="10405"/>
        <n v="10055"/>
        <n v="10601"/>
        <n v="10554"/>
        <n v="10355"/>
        <n v="10812"/>
        <n v="10769"/>
        <n v="10269"/>
        <n v="10801"/>
        <n v="10247"/>
        <n v="10467"/>
        <n v="10572"/>
        <n v="10202"/>
        <n v="10152"/>
        <n v="10033"/>
        <n v="10254"/>
        <n v="10577"/>
        <n v="10289"/>
        <n v="10587"/>
        <n v="10456"/>
        <n v="10305"/>
        <n v="10654"/>
        <n v="10483"/>
        <n v="11067"/>
        <n v="10400"/>
        <n v="11031"/>
        <n v="10539"/>
        <n v="10115"/>
        <n v="10080"/>
        <n v="10815"/>
        <n v="10212"/>
        <n v="10166"/>
        <n v="11026"/>
        <n v="10173"/>
        <n v="10162"/>
        <n v="10364"/>
        <n v="10214"/>
        <n v="10613"/>
        <n v="10479"/>
        <n v="10038"/>
        <n v="10233"/>
        <n v="10640"/>
        <n v="10065"/>
        <n v="10191"/>
        <n v="10239"/>
        <n v="10249"/>
        <n v="10886"/>
        <n v="10252"/>
        <n v="11085"/>
        <n v="10683"/>
        <n v="10268"/>
        <n v="10314"/>
        <n v="10052"/>
        <n v="10689"/>
        <n v="10648"/>
        <n v="10371"/>
        <n v="10756"/>
        <n v="10626"/>
        <n v="11074"/>
        <n v="10987"/>
        <n v="11093"/>
        <n v="10450"/>
        <n v="10527"/>
        <n v="10081"/>
        <n v="10190"/>
        <n v="10101"/>
        <n v="10291"/>
        <n v="10317"/>
        <n v="10871"/>
        <n v="11099"/>
        <n v="10619"/>
        <n v="10120"/>
        <n v="10954"/>
        <n v="10665"/>
        <n v="10509"/>
        <n v="10170"/>
        <n v="10653"/>
        <n v="10363"/>
        <n v="10434"/>
        <n v="10960"/>
        <n v="10510"/>
        <n v="10042"/>
        <n v="10595"/>
        <n v="10879"/>
        <n v="10259"/>
        <n v="10588"/>
        <n v="10040"/>
        <n v="10474"/>
        <n v="10430"/>
        <n v="10701"/>
        <n v="10025"/>
        <n v="11042"/>
        <n v="10964"/>
        <n v="10391"/>
        <n v="11052"/>
        <n v="10292"/>
        <n v="10476"/>
        <n v="10778"/>
        <n v="10652"/>
        <n v="10868"/>
        <n v="10344"/>
        <n v="10788"/>
        <n v="10977"/>
        <n v="10696"/>
        <n v="10782"/>
        <n v="10828"/>
        <n v="10163"/>
        <n v="10765"/>
      </sharedItems>
    </cacheField>
    <cacheField name="Исходящие операции" numFmtId="0">
      <sharedItems containsSemiMixedTypes="0" containsString="0" containsNumber="1" containsInteger="1" minValue="16" maxValue="300"/>
    </cacheField>
    <cacheField name="Сумма исходящих операций" numFmtId="2">
      <sharedItems containsSemiMixedTypes="0" containsString="0" containsNumber="1" minValue="36827.589999999997" maxValue="755595.12"/>
    </cacheField>
    <cacheField name="Ранг" numFmtId="0">
      <sharedItems containsSemiMixedTypes="0" containsString="0" containsNumber="1" containsInteger="1" minValue="1" maxValue="862" count="86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351"/>
  </r>
  <r>
    <x v="1"/>
    <n v="352"/>
  </r>
  <r>
    <x v="2"/>
    <n v="3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5065"/>
    <n v="37647877.219999999"/>
  </r>
  <r>
    <x v="1"/>
    <n v="14771"/>
    <n v="37183395.630000003"/>
  </r>
  <r>
    <x v="2"/>
    <n v="14706"/>
    <n v="36742449.799999997"/>
  </r>
  <r>
    <x v="3"/>
    <n v="4958"/>
    <n v="12381777.8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98"/>
    <n v="0.18049666868564507"/>
  </r>
  <r>
    <x v="1"/>
    <n v="1353"/>
    <n v="0.819503331314354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1">
  <r>
    <x v="0"/>
    <n v="80"/>
    <n v="193859.65"/>
    <n v="74"/>
    <n v="169282.38"/>
    <n v="363142.03"/>
  </r>
  <r>
    <x v="1"/>
    <n v="50"/>
    <n v="145599.57"/>
    <n v="68"/>
    <n v="183047.66"/>
    <n v="328647.23"/>
  </r>
  <r>
    <x v="2"/>
    <n v="62"/>
    <n v="163800.04999999999"/>
    <n v="60"/>
    <n v="151379.19"/>
    <n v="315179.24"/>
  </r>
  <r>
    <x v="3"/>
    <n v="53"/>
    <n v="139129.72"/>
    <n v="62"/>
    <n v="167497.35999999999"/>
    <n v="306627.07999999903"/>
  </r>
  <r>
    <x v="4"/>
    <n v="57"/>
    <n v="147897.38"/>
    <n v="54"/>
    <n v="158053.85999999999"/>
    <n v="305951.24"/>
  </r>
  <r>
    <x v="5"/>
    <n v="65"/>
    <n v="154569.53"/>
    <n v="62"/>
    <n v="141323.75"/>
    <n v="295893.28000000003"/>
  </r>
  <r>
    <x v="6"/>
    <n v="51"/>
    <n v="138070.78"/>
    <n v="57"/>
    <n v="152406.57999999999"/>
    <n v="290477.36"/>
  </r>
  <r>
    <x v="7"/>
    <n v="44"/>
    <n v="128242.47"/>
    <n v="53"/>
    <n v="157739.07"/>
    <n v="285981.53999999998"/>
  </r>
  <r>
    <x v="8"/>
    <n v="50"/>
    <n v="128857.51"/>
    <n v="63"/>
    <n v="154276.85999999999"/>
    <n v="283134.37"/>
  </r>
  <r>
    <x v="9"/>
    <n v="47"/>
    <n v="114348.3"/>
    <n v="60"/>
    <n v="168204.33"/>
    <n v="282552.63"/>
  </r>
  <r>
    <x v="10"/>
    <n v="57"/>
    <n v="135649.45000000001"/>
    <n v="63"/>
    <n v="146457.71"/>
    <n v="282107.15999999997"/>
  </r>
  <r>
    <x v="11"/>
    <n v="60"/>
    <n v="155715.49"/>
    <n v="51"/>
    <n v="121718.46"/>
    <n v="277433.95"/>
  </r>
  <r>
    <x v="12"/>
    <n v="61"/>
    <n v="146062.19"/>
    <n v="55"/>
    <n v="129679.57"/>
    <n v="275741.76"/>
  </r>
  <r>
    <x v="13"/>
    <n v="58"/>
    <n v="152235.6"/>
    <n v="58"/>
    <n v="121250.75"/>
    <n v="273486.34999999998"/>
  </r>
  <r>
    <x v="14"/>
    <n v="64"/>
    <n v="143744.25"/>
    <n v="52"/>
    <n v="123125.96"/>
    <n v="266870.21000000002"/>
  </r>
  <r>
    <x v="15"/>
    <n v="47"/>
    <n v="109727.36"/>
    <n v="60"/>
    <n v="143692.94"/>
    <n v="253420.3"/>
  </r>
  <r>
    <x v="16"/>
    <n v="35"/>
    <n v="103445.2"/>
    <n v="45"/>
    <n v="132378.64000000001"/>
    <n v="235823.84"/>
  </r>
  <r>
    <x v="17"/>
    <n v="36"/>
    <n v="94790.56"/>
    <n v="43"/>
    <n v="119072.91"/>
    <n v="213863.47"/>
  </r>
  <r>
    <x v="18"/>
    <n v="30"/>
    <n v="79882.31"/>
    <n v="45"/>
    <n v="133568.03"/>
    <n v="213450.34"/>
  </r>
  <r>
    <x v="19"/>
    <n v="45"/>
    <n v="139721.66"/>
    <n v="29"/>
    <n v="72052.58"/>
    <n v="211774.24"/>
  </r>
  <r>
    <x v="20"/>
    <n v="38"/>
    <n v="106908.18"/>
    <n v="38"/>
    <n v="103450.67"/>
    <n v="210358.84999999899"/>
  </r>
  <r>
    <x v="21"/>
    <n v="45"/>
    <n v="115130.1"/>
    <n v="35"/>
    <n v="93937.47"/>
    <n v="209067.57"/>
  </r>
  <r>
    <x v="22"/>
    <n v="38"/>
    <n v="105356.63"/>
    <n v="34"/>
    <n v="102582.81"/>
    <n v="207939.44"/>
  </r>
  <r>
    <x v="23"/>
    <n v="29"/>
    <n v="90932.1"/>
    <n v="46"/>
    <n v="116891.47"/>
    <n v="207823.57"/>
  </r>
  <r>
    <x v="24"/>
    <n v="45"/>
    <n v="122419.9"/>
    <n v="32"/>
    <n v="85091.18"/>
    <n v="207511.08"/>
  </r>
  <r>
    <x v="25"/>
    <n v="37"/>
    <n v="96979.12"/>
    <n v="41"/>
    <n v="109687.85"/>
    <n v="206666.97"/>
  </r>
  <r>
    <x v="26"/>
    <n v="46"/>
    <n v="114931"/>
    <n v="38"/>
    <n v="91321.62"/>
    <n v="206252.62"/>
  </r>
  <r>
    <x v="27"/>
    <n v="36"/>
    <n v="96770.92"/>
    <n v="37"/>
    <n v="107811.45"/>
    <n v="204582.37"/>
  </r>
  <r>
    <x v="28"/>
    <n v="51"/>
    <n v="144345.47"/>
    <n v="23"/>
    <n v="60164.91"/>
    <n v="204510.38"/>
  </r>
  <r>
    <x v="29"/>
    <n v="39"/>
    <n v="105806.98"/>
    <n v="35"/>
    <n v="98296.74"/>
    <n v="204103.72"/>
  </r>
  <r>
    <x v="30"/>
    <n v="32"/>
    <n v="85812.92"/>
    <n v="44"/>
    <n v="118229.44"/>
    <n v="204042.36"/>
  </r>
  <r>
    <x v="31"/>
    <n v="35"/>
    <n v="94608.63"/>
    <n v="37"/>
    <n v="109378.66"/>
    <n v="203987.29"/>
  </r>
  <r>
    <x v="32"/>
    <n v="41"/>
    <n v="120282.38"/>
    <n v="28"/>
    <n v="83343.02"/>
    <n v="203625.4"/>
  </r>
  <r>
    <x v="33"/>
    <n v="30"/>
    <n v="100002.58"/>
    <n v="36"/>
    <n v="103198.44"/>
    <n v="203201.02"/>
  </r>
  <r>
    <x v="34"/>
    <n v="42"/>
    <n v="119486.15"/>
    <n v="37"/>
    <n v="83396.12"/>
    <n v="202882.27"/>
  </r>
  <r>
    <x v="35"/>
    <n v="39"/>
    <n v="115042.48"/>
    <n v="36"/>
    <n v="87735.039999999994"/>
    <n v="202777.52"/>
  </r>
  <r>
    <x v="36"/>
    <n v="38"/>
    <n v="99976.66"/>
    <n v="39"/>
    <n v="102661.51"/>
    <n v="202638.16999999899"/>
  </r>
  <r>
    <x v="37"/>
    <n v="39"/>
    <n v="109032.73"/>
    <n v="35"/>
    <n v="93286.09"/>
    <n v="202318.82"/>
  </r>
  <r>
    <x v="38"/>
    <n v="49"/>
    <n v="122953.25"/>
    <n v="29"/>
    <n v="78664.5"/>
    <n v="201617.75"/>
  </r>
  <r>
    <x v="39"/>
    <n v="40"/>
    <n v="104217.13"/>
    <n v="38"/>
    <n v="96621.47"/>
    <n v="200838.6"/>
  </r>
  <r>
    <x v="40"/>
    <n v="39"/>
    <n v="102566.97"/>
    <n v="39"/>
    <n v="97968.84"/>
    <n v="200535.81"/>
  </r>
  <r>
    <x v="41"/>
    <n v="41"/>
    <n v="113666.18"/>
    <n v="31"/>
    <n v="86256.72"/>
    <n v="199922.9"/>
  </r>
  <r>
    <x v="42"/>
    <n v="36"/>
    <n v="97044.88"/>
    <n v="36"/>
    <n v="102614.34"/>
    <n v="199659.22"/>
  </r>
  <r>
    <x v="43"/>
    <n v="44"/>
    <n v="115248"/>
    <n v="26"/>
    <n v="83632.210000000006"/>
    <n v="198880.21"/>
  </r>
  <r>
    <x v="44"/>
    <n v="38"/>
    <n v="95008.3"/>
    <n v="39"/>
    <n v="102686.35"/>
    <n v="197694.65"/>
  </r>
  <r>
    <x v="45"/>
    <n v="36"/>
    <n v="90159.93"/>
    <n v="41"/>
    <n v="107376.85"/>
    <n v="197536.78"/>
  </r>
  <r>
    <x v="46"/>
    <n v="35"/>
    <n v="94142.87"/>
    <n v="39"/>
    <n v="103362.08"/>
    <n v="197504.95"/>
  </r>
  <r>
    <x v="47"/>
    <n v="39"/>
    <n v="125505.77"/>
    <n v="29"/>
    <n v="71943.3"/>
    <n v="197449.07"/>
  </r>
  <r>
    <x v="48"/>
    <n v="33"/>
    <n v="91022.63"/>
    <n v="41"/>
    <n v="106307.55"/>
    <n v="197330.18"/>
  </r>
  <r>
    <x v="49"/>
    <n v="32"/>
    <n v="78893.02"/>
    <n v="48"/>
    <n v="118121.12"/>
    <n v="197014.14"/>
  </r>
  <r>
    <x v="50"/>
    <n v="39"/>
    <n v="121142.59"/>
    <n v="26"/>
    <n v="75851.839999999997"/>
    <n v="196994.43"/>
  </r>
  <r>
    <x v="51"/>
    <n v="36"/>
    <n v="88781.18"/>
    <n v="38"/>
    <n v="107992.38"/>
    <n v="196773.56"/>
  </r>
  <r>
    <x v="52"/>
    <n v="32"/>
    <n v="99923.73"/>
    <n v="37"/>
    <n v="96669.48"/>
    <n v="196593.21"/>
  </r>
  <r>
    <x v="53"/>
    <n v="36"/>
    <n v="97963.25"/>
    <n v="36"/>
    <n v="98490.62"/>
    <n v="196453.87"/>
  </r>
  <r>
    <x v="54"/>
    <n v="35"/>
    <n v="94442.6"/>
    <n v="42"/>
    <n v="101866.43"/>
    <n v="196309.03"/>
  </r>
  <r>
    <x v="55"/>
    <n v="34"/>
    <n v="87490.03"/>
    <n v="39"/>
    <n v="108143.44"/>
    <n v="195633.47"/>
  </r>
  <r>
    <x v="56"/>
    <n v="38"/>
    <n v="106632.82"/>
    <n v="37"/>
    <n v="88954"/>
    <n v="195586.82"/>
  </r>
  <r>
    <x v="57"/>
    <n v="35"/>
    <n v="100224.89"/>
    <n v="39"/>
    <n v="95172.63"/>
    <n v="195397.52"/>
  </r>
  <r>
    <x v="58"/>
    <n v="39"/>
    <n v="101441.82"/>
    <n v="39"/>
    <n v="93862.32"/>
    <n v="195304.14"/>
  </r>
  <r>
    <x v="59"/>
    <n v="44"/>
    <n v="115802.17"/>
    <n v="28"/>
    <n v="79413.460000000006"/>
    <n v="195215.63"/>
  </r>
  <r>
    <x v="60"/>
    <n v="34"/>
    <n v="88889.46"/>
    <n v="40"/>
    <n v="106320.71"/>
    <n v="195210.17"/>
  </r>
  <r>
    <x v="61"/>
    <n v="34"/>
    <n v="84201.36"/>
    <n v="42"/>
    <n v="110964.31"/>
    <n v="195165.66999999899"/>
  </r>
  <r>
    <x v="62"/>
    <n v="41"/>
    <n v="89795.57"/>
    <n v="40"/>
    <n v="105231.02"/>
    <n v="195026.59"/>
  </r>
  <r>
    <x v="63"/>
    <n v="36"/>
    <n v="95612.69"/>
    <n v="38"/>
    <n v="99035.44"/>
    <n v="194648.13"/>
  </r>
  <r>
    <x v="64"/>
    <n v="44"/>
    <n v="113956.6"/>
    <n v="33"/>
    <n v="80053.240000000005"/>
    <n v="194009.84"/>
  </r>
  <r>
    <x v="65"/>
    <n v="35"/>
    <n v="108486.31"/>
    <n v="36"/>
    <n v="85056.26"/>
    <n v="193542.57"/>
  </r>
  <r>
    <x v="66"/>
    <n v="33"/>
    <n v="87404.31"/>
    <n v="40"/>
    <n v="106004"/>
    <n v="193408.31"/>
  </r>
  <r>
    <x v="67"/>
    <n v="45"/>
    <n v="130884.67"/>
    <n v="28"/>
    <n v="62123.95"/>
    <n v="193008.62"/>
  </r>
  <r>
    <x v="68"/>
    <n v="38"/>
    <n v="110917.97"/>
    <n v="30"/>
    <n v="81855.289999999994"/>
    <n v="192773.26"/>
  </r>
  <r>
    <x v="69"/>
    <n v="42"/>
    <n v="99443.98"/>
    <n v="40"/>
    <n v="93293.81"/>
    <n v="192737.78999999899"/>
  </r>
  <r>
    <x v="70"/>
    <n v="39"/>
    <n v="94234"/>
    <n v="34"/>
    <n v="98393.23"/>
    <n v="192627.22999999899"/>
  </r>
  <r>
    <x v="71"/>
    <n v="39"/>
    <n v="87805.57"/>
    <n v="36"/>
    <n v="104312.34"/>
    <n v="192117.91"/>
  </r>
  <r>
    <x v="72"/>
    <n v="39"/>
    <n v="101112.53"/>
    <n v="35"/>
    <n v="90973.43"/>
    <n v="192085.96"/>
  </r>
  <r>
    <x v="73"/>
    <n v="37"/>
    <n v="100509.11"/>
    <n v="31"/>
    <n v="91499.18"/>
    <n v="192008.28999999899"/>
  </r>
  <r>
    <x v="74"/>
    <n v="40"/>
    <n v="104168.56"/>
    <n v="33"/>
    <n v="87751.53"/>
    <n v="191920.09"/>
  </r>
  <r>
    <x v="75"/>
    <n v="47"/>
    <n v="128916.19"/>
    <n v="29"/>
    <n v="62874.25"/>
    <n v="191790.44"/>
  </r>
  <r>
    <x v="76"/>
    <n v="43"/>
    <n v="116109.31"/>
    <n v="29"/>
    <n v="75504.77"/>
    <n v="191614.07999999999"/>
  </r>
  <r>
    <x v="77"/>
    <n v="38"/>
    <n v="87899.58"/>
    <n v="36"/>
    <n v="103321.14"/>
    <n v="191220.72"/>
  </r>
  <r>
    <x v="78"/>
    <n v="38"/>
    <n v="93517.86"/>
    <n v="38"/>
    <n v="97595.73"/>
    <n v="191113.59"/>
  </r>
  <r>
    <x v="79"/>
    <n v="30"/>
    <n v="84018.46"/>
    <n v="39"/>
    <n v="106891.91"/>
    <n v="190910.37"/>
  </r>
  <r>
    <x v="80"/>
    <n v="35"/>
    <n v="90923.04"/>
    <n v="35"/>
    <n v="99323.75"/>
    <n v="190246.78999999899"/>
  </r>
  <r>
    <x v="81"/>
    <n v="29"/>
    <n v="84621.11"/>
    <n v="36"/>
    <n v="105438.53"/>
    <n v="190059.64"/>
  </r>
  <r>
    <x v="82"/>
    <n v="46"/>
    <n v="123762.81"/>
    <n v="28"/>
    <n v="66260.009999999995"/>
    <n v="190022.82"/>
  </r>
  <r>
    <x v="83"/>
    <n v="43"/>
    <n v="120528.12"/>
    <n v="31"/>
    <n v="69467.710000000006"/>
    <n v="189995.83"/>
  </r>
  <r>
    <x v="84"/>
    <n v="34"/>
    <n v="86407.71"/>
    <n v="39"/>
    <n v="103331.63"/>
    <n v="189739.34"/>
  </r>
  <r>
    <x v="85"/>
    <n v="41"/>
    <n v="99504.75"/>
    <n v="33"/>
    <n v="90064.57"/>
    <n v="189569.32"/>
  </r>
  <r>
    <x v="86"/>
    <n v="33"/>
    <n v="98457.59"/>
    <n v="33"/>
    <n v="90926.94"/>
    <n v="189384.53"/>
  </r>
  <r>
    <x v="87"/>
    <n v="36"/>
    <n v="102612.19"/>
    <n v="34"/>
    <n v="86500.44"/>
    <n v="189112.63"/>
  </r>
  <r>
    <x v="88"/>
    <n v="35"/>
    <n v="103589.41"/>
    <n v="30"/>
    <n v="85510.34"/>
    <n v="189099.75"/>
  </r>
  <r>
    <x v="89"/>
    <n v="34"/>
    <n v="98713.46"/>
    <n v="28"/>
    <n v="90364.66"/>
    <n v="189078.12"/>
  </r>
  <r>
    <x v="90"/>
    <n v="35"/>
    <n v="90876.87"/>
    <n v="34"/>
    <n v="97851.33"/>
    <n v="188728.2"/>
  </r>
  <r>
    <x v="91"/>
    <n v="35"/>
    <n v="97949.5"/>
    <n v="32"/>
    <n v="90718.14"/>
    <n v="188667.64"/>
  </r>
  <r>
    <x v="92"/>
    <n v="35"/>
    <n v="83428.53"/>
    <n v="38"/>
    <n v="105212.88"/>
    <n v="188641.41"/>
  </r>
  <r>
    <x v="93"/>
    <n v="39"/>
    <n v="94736.46"/>
    <n v="38"/>
    <n v="93809.97"/>
    <n v="188546.43"/>
  </r>
  <r>
    <x v="94"/>
    <n v="34"/>
    <n v="82735.95"/>
    <n v="35"/>
    <n v="105634.06"/>
    <n v="188370.01"/>
  </r>
  <r>
    <x v="95"/>
    <n v="35"/>
    <n v="89636.12"/>
    <n v="33"/>
    <n v="98277.52"/>
    <n v="187913.64"/>
  </r>
  <r>
    <x v="96"/>
    <n v="35"/>
    <n v="100964.1"/>
    <n v="34"/>
    <n v="86857.4"/>
    <n v="187821.5"/>
  </r>
  <r>
    <x v="97"/>
    <n v="38"/>
    <n v="89786.71"/>
    <n v="34"/>
    <n v="97780.46"/>
    <n v="187567.17"/>
  </r>
  <r>
    <x v="98"/>
    <n v="38"/>
    <n v="105159.31"/>
    <n v="30"/>
    <n v="82296.350000000006"/>
    <n v="187455.66"/>
  </r>
  <r>
    <x v="99"/>
    <n v="41"/>
    <n v="112366.9"/>
    <n v="33"/>
    <n v="75047.740000000005"/>
    <n v="187414.64"/>
  </r>
  <r>
    <x v="100"/>
    <n v="37"/>
    <n v="102688.11"/>
    <n v="37"/>
    <n v="84385.06"/>
    <n v="187073.16999999899"/>
  </r>
  <r>
    <x v="101"/>
    <n v="36"/>
    <n v="110274.93"/>
    <n v="30"/>
    <n v="76752.649999999994"/>
    <n v="187027.58"/>
  </r>
  <r>
    <x v="102"/>
    <n v="45"/>
    <n v="106133.17"/>
    <n v="32"/>
    <n v="80623.399999999994"/>
    <n v="186756.57"/>
  </r>
  <r>
    <x v="103"/>
    <n v="36"/>
    <n v="86452.84"/>
    <n v="40"/>
    <n v="100208.57"/>
    <n v="186661.41"/>
  </r>
  <r>
    <x v="104"/>
    <n v="33"/>
    <n v="96896.69"/>
    <n v="31"/>
    <n v="89185.85"/>
    <n v="186082.54"/>
  </r>
  <r>
    <x v="105"/>
    <n v="30"/>
    <n v="83676.53"/>
    <n v="34"/>
    <n v="102165.78"/>
    <n v="185842.31"/>
  </r>
  <r>
    <x v="106"/>
    <n v="33"/>
    <n v="89556.4"/>
    <n v="35"/>
    <n v="96197.67"/>
    <n v="185754.07"/>
  </r>
  <r>
    <x v="107"/>
    <n v="37"/>
    <n v="100844.05"/>
    <n v="29"/>
    <n v="84634.82"/>
    <n v="185478.87"/>
  </r>
  <r>
    <x v="108"/>
    <n v="30"/>
    <n v="77242.429999999993"/>
    <n v="41"/>
    <n v="108066.61"/>
    <n v="185309.03999999899"/>
  </r>
  <r>
    <x v="109"/>
    <n v="39"/>
    <n v="101978.86"/>
    <n v="30"/>
    <n v="83305.66"/>
    <n v="185284.52"/>
  </r>
  <r>
    <x v="110"/>
    <n v="37"/>
    <n v="92448.62"/>
    <n v="33"/>
    <n v="92643.33"/>
    <n v="185091.95"/>
  </r>
  <r>
    <x v="111"/>
    <n v="25"/>
    <n v="66733.789999999994"/>
    <n v="44"/>
    <n v="118331.25"/>
    <n v="185065.03999999899"/>
  </r>
  <r>
    <x v="112"/>
    <n v="35"/>
    <n v="95408.61"/>
    <n v="32"/>
    <n v="89446.54"/>
    <n v="184855.15"/>
  </r>
  <r>
    <x v="113"/>
    <n v="31"/>
    <n v="75968.649999999994"/>
    <n v="40"/>
    <n v="108835.93"/>
    <n v="184804.58"/>
  </r>
  <r>
    <x v="114"/>
    <n v="38"/>
    <n v="99284.46"/>
    <n v="33"/>
    <n v="85491.5"/>
    <n v="184775.96"/>
  </r>
  <r>
    <x v="115"/>
    <n v="28"/>
    <n v="87669.39"/>
    <n v="34"/>
    <n v="97077.28"/>
    <n v="184746.66999999899"/>
  </r>
  <r>
    <x v="116"/>
    <n v="34"/>
    <n v="93334.75"/>
    <n v="32"/>
    <n v="91067.56"/>
    <n v="184402.31"/>
  </r>
  <r>
    <x v="117"/>
    <n v="28"/>
    <n v="70494.460000000006"/>
    <n v="42"/>
    <n v="113874.19"/>
    <n v="184368.65"/>
  </r>
  <r>
    <x v="118"/>
    <n v="36"/>
    <n v="89459.61"/>
    <n v="32"/>
    <n v="94857.65"/>
    <n v="184317.26"/>
  </r>
  <r>
    <x v="119"/>
    <n v="38"/>
    <n v="113109.44"/>
    <n v="32"/>
    <n v="71138.28"/>
    <n v="184247.72"/>
  </r>
  <r>
    <x v="120"/>
    <n v="35"/>
    <n v="98347.58"/>
    <n v="38"/>
    <n v="85872.28"/>
    <n v="184219.86"/>
  </r>
  <r>
    <x v="121"/>
    <n v="36"/>
    <n v="94652.44"/>
    <n v="38"/>
    <n v="89450.03"/>
    <n v="184102.47"/>
  </r>
  <r>
    <x v="122"/>
    <n v="36"/>
    <n v="82419.429999999993"/>
    <n v="33"/>
    <n v="101629.54"/>
    <n v="184048.96999999901"/>
  </r>
  <r>
    <x v="123"/>
    <n v="30"/>
    <n v="86601.84"/>
    <n v="39"/>
    <n v="97328.34"/>
    <n v="183930.18"/>
  </r>
  <r>
    <x v="124"/>
    <n v="37"/>
    <n v="101650.02"/>
    <n v="37"/>
    <n v="82177.05"/>
    <n v="183827.07"/>
  </r>
  <r>
    <x v="125"/>
    <n v="31"/>
    <n v="88343.86"/>
    <n v="39"/>
    <n v="95414.02"/>
    <n v="183757.88"/>
  </r>
  <r>
    <x v="126"/>
    <n v="40"/>
    <n v="93404.58"/>
    <n v="27"/>
    <n v="90327.81"/>
    <n v="183732.39"/>
  </r>
  <r>
    <x v="127"/>
    <n v="32"/>
    <n v="75829.240000000005"/>
    <n v="33"/>
    <n v="107901.74"/>
    <n v="183730.98"/>
  </r>
  <r>
    <x v="128"/>
    <n v="36"/>
    <n v="90763.08"/>
    <n v="36"/>
    <n v="92807.87"/>
    <n v="183570.95"/>
  </r>
  <r>
    <x v="129"/>
    <n v="35"/>
    <n v="97678.27"/>
    <n v="35"/>
    <n v="85886.12"/>
    <n v="183564.39"/>
  </r>
  <r>
    <x v="130"/>
    <n v="38"/>
    <n v="111085.75"/>
    <n v="30"/>
    <n v="72440.95"/>
    <n v="183526.7"/>
  </r>
  <r>
    <x v="131"/>
    <n v="31"/>
    <n v="81556.479999999996"/>
    <n v="37"/>
    <n v="101692.95"/>
    <n v="183249.43"/>
  </r>
  <r>
    <x v="132"/>
    <n v="27"/>
    <n v="74308.02"/>
    <n v="45"/>
    <n v="108915.38"/>
    <n v="183223.4"/>
  </r>
  <r>
    <x v="133"/>
    <n v="29"/>
    <n v="74951.899999999994"/>
    <n v="41"/>
    <n v="108234.85"/>
    <n v="183186.75"/>
  </r>
  <r>
    <x v="134"/>
    <n v="29"/>
    <n v="81647.539999999994"/>
    <n v="35"/>
    <n v="101527.71"/>
    <n v="183175.25"/>
  </r>
  <r>
    <x v="135"/>
    <n v="35"/>
    <n v="104802.89"/>
    <n v="37"/>
    <n v="78185.149999999994"/>
    <n v="182988.03999999899"/>
  </r>
  <r>
    <x v="136"/>
    <n v="36"/>
    <n v="96695.95"/>
    <n v="31"/>
    <n v="86055.51"/>
    <n v="182751.46"/>
  </r>
  <r>
    <x v="137"/>
    <n v="29"/>
    <n v="78870.11"/>
    <n v="34"/>
    <n v="103797.12"/>
    <n v="182667.22999999899"/>
  </r>
  <r>
    <x v="138"/>
    <n v="39"/>
    <n v="124748.38"/>
    <n v="22"/>
    <n v="57908.19"/>
    <n v="182656.57"/>
  </r>
  <r>
    <x v="139"/>
    <n v="40"/>
    <n v="102749.47"/>
    <n v="31"/>
    <n v="79677.77"/>
    <n v="182427.24"/>
  </r>
  <r>
    <x v="140"/>
    <n v="34"/>
    <n v="82898.62"/>
    <n v="38"/>
    <n v="99478.99"/>
    <n v="182377.61"/>
  </r>
  <r>
    <x v="141"/>
    <n v="26"/>
    <n v="74141.61"/>
    <n v="40"/>
    <n v="108225.48"/>
    <n v="182367.09"/>
  </r>
  <r>
    <x v="142"/>
    <n v="27"/>
    <n v="74306.66"/>
    <n v="35"/>
    <n v="107954.02"/>
    <n v="182260.68"/>
  </r>
  <r>
    <x v="143"/>
    <n v="37"/>
    <n v="89745.98"/>
    <n v="38"/>
    <n v="92450.559999999998"/>
    <n v="182196.53999999899"/>
  </r>
  <r>
    <x v="144"/>
    <n v="26"/>
    <n v="74611.62"/>
    <n v="39"/>
    <n v="107372.98"/>
    <n v="181984.59999999899"/>
  </r>
  <r>
    <x v="145"/>
    <n v="44"/>
    <n v="118106.43"/>
    <n v="26"/>
    <n v="63708.75"/>
    <n v="181815.18"/>
  </r>
  <r>
    <x v="146"/>
    <n v="34"/>
    <n v="77061.929999999993"/>
    <n v="42"/>
    <n v="104691.37"/>
    <n v="181753.3"/>
  </r>
  <r>
    <x v="147"/>
    <n v="36"/>
    <n v="107307.33"/>
    <n v="28"/>
    <n v="74393.64"/>
    <n v="181700.97"/>
  </r>
  <r>
    <x v="148"/>
    <n v="33"/>
    <n v="90821"/>
    <n v="35"/>
    <n v="90742.89"/>
    <n v="181563.89"/>
  </r>
  <r>
    <x v="149"/>
    <n v="33"/>
    <n v="89596.6"/>
    <n v="33"/>
    <n v="91943.9"/>
    <n v="181540.5"/>
  </r>
  <r>
    <x v="150"/>
    <n v="39"/>
    <n v="100204.99"/>
    <n v="32"/>
    <n v="81107.5"/>
    <n v="181312.49"/>
  </r>
  <r>
    <x v="151"/>
    <n v="32"/>
    <n v="86788.36"/>
    <n v="32"/>
    <n v="94444.02"/>
    <n v="181232.38"/>
  </r>
  <r>
    <x v="152"/>
    <n v="32"/>
    <n v="83712.210000000006"/>
    <n v="37"/>
    <n v="97471.95"/>
    <n v="181184.16"/>
  </r>
  <r>
    <x v="153"/>
    <n v="34"/>
    <n v="92026.16"/>
    <n v="35"/>
    <n v="89148.19"/>
    <n v="181174.35"/>
  </r>
  <r>
    <x v="154"/>
    <n v="33"/>
    <n v="80335.47"/>
    <n v="38"/>
    <n v="100661.74"/>
    <n v="180997.21"/>
  </r>
  <r>
    <x v="155"/>
    <n v="40"/>
    <n v="96144.29"/>
    <n v="34"/>
    <n v="84740.35"/>
    <n v="180884.64"/>
  </r>
  <r>
    <x v="156"/>
    <n v="29"/>
    <n v="66697.63"/>
    <n v="40"/>
    <n v="113920.19"/>
    <n v="180617.82"/>
  </r>
  <r>
    <x v="157"/>
    <n v="32"/>
    <n v="82315.41"/>
    <n v="33"/>
    <n v="98230.16"/>
    <n v="180545.57"/>
  </r>
  <r>
    <x v="158"/>
    <n v="42"/>
    <n v="115360.98"/>
    <n v="26"/>
    <n v="65168.08"/>
    <n v="180529.06"/>
  </r>
  <r>
    <x v="159"/>
    <n v="33"/>
    <n v="88626.96"/>
    <n v="37"/>
    <n v="91657.19"/>
    <n v="180284.15"/>
  </r>
  <r>
    <x v="160"/>
    <n v="34"/>
    <n v="101379.84"/>
    <n v="36"/>
    <n v="78807.28"/>
    <n v="180187.12"/>
  </r>
  <r>
    <x v="161"/>
    <n v="26"/>
    <n v="69321.95"/>
    <n v="45"/>
    <n v="110728.34"/>
    <n v="180050.28999999899"/>
  </r>
  <r>
    <x v="162"/>
    <n v="30"/>
    <n v="78443.38"/>
    <n v="39"/>
    <n v="101436.66"/>
    <n v="179880.04"/>
  </r>
  <r>
    <x v="163"/>
    <n v="42"/>
    <n v="101341.66"/>
    <n v="36"/>
    <n v="78346.259999999995"/>
    <n v="179687.91999999899"/>
  </r>
  <r>
    <x v="164"/>
    <n v="32"/>
    <n v="98249.77"/>
    <n v="30"/>
    <n v="81412.41"/>
    <n v="179662.18"/>
  </r>
  <r>
    <x v="165"/>
    <n v="35"/>
    <n v="92772.52"/>
    <n v="33"/>
    <n v="86787.41"/>
    <n v="179559.93"/>
  </r>
  <r>
    <x v="166"/>
    <n v="35"/>
    <n v="80907.320000000007"/>
    <n v="34"/>
    <n v="98391.99"/>
    <n v="179299.31"/>
  </r>
  <r>
    <x v="167"/>
    <n v="33"/>
    <n v="94427.24"/>
    <n v="29"/>
    <n v="84829.05"/>
    <n v="179256.29"/>
  </r>
  <r>
    <x v="168"/>
    <n v="37"/>
    <n v="87099.55"/>
    <n v="36"/>
    <n v="91996.81"/>
    <n v="179096.36"/>
  </r>
  <r>
    <x v="169"/>
    <n v="32"/>
    <n v="96535.26"/>
    <n v="33"/>
    <n v="82557.09"/>
    <n v="179092.34999999899"/>
  </r>
  <r>
    <x v="170"/>
    <n v="36"/>
    <n v="98705.06"/>
    <n v="32"/>
    <n v="80364.13"/>
    <n v="179069.19"/>
  </r>
  <r>
    <x v="171"/>
    <n v="29"/>
    <n v="73355.570000000007"/>
    <n v="38"/>
    <n v="105631.46"/>
    <n v="178987.03"/>
  </r>
  <r>
    <x v="172"/>
    <n v="37"/>
    <n v="85492.49"/>
    <n v="35"/>
    <n v="93428.04"/>
    <n v="178920.53"/>
  </r>
  <r>
    <x v="173"/>
    <n v="32"/>
    <n v="97912.06"/>
    <n v="28"/>
    <n v="80916.05"/>
    <n v="178828.11"/>
  </r>
  <r>
    <x v="174"/>
    <n v="38"/>
    <n v="99299.97"/>
    <n v="33"/>
    <n v="79104.84"/>
    <n v="178404.81"/>
  </r>
  <r>
    <x v="175"/>
    <n v="36"/>
    <n v="95719.01"/>
    <n v="36"/>
    <n v="82319.39"/>
    <n v="178038.39999999999"/>
  </r>
  <r>
    <x v="176"/>
    <n v="25"/>
    <n v="68142.34"/>
    <n v="37"/>
    <n v="109847.6"/>
    <n v="177989.94"/>
  </r>
  <r>
    <x v="177"/>
    <n v="41"/>
    <n v="100147.67"/>
    <n v="37"/>
    <n v="77828.37"/>
    <n v="177976.03999999899"/>
  </r>
  <r>
    <x v="178"/>
    <n v="31"/>
    <n v="73755.12"/>
    <n v="40"/>
    <n v="104139.57"/>
    <n v="177894.69"/>
  </r>
  <r>
    <x v="179"/>
    <n v="24"/>
    <n v="55234.86"/>
    <n v="51"/>
    <n v="122649.76"/>
    <n v="177884.62"/>
  </r>
  <r>
    <x v="180"/>
    <n v="24"/>
    <n v="63986.28"/>
    <n v="42"/>
    <n v="113674.06"/>
    <n v="177660.34"/>
  </r>
  <r>
    <x v="181"/>
    <n v="35"/>
    <n v="85877.06"/>
    <n v="36"/>
    <n v="91771.11"/>
    <n v="177648.16999999899"/>
  </r>
  <r>
    <x v="182"/>
    <n v="33"/>
    <n v="92004.4"/>
    <n v="36"/>
    <n v="85625.09"/>
    <n v="177629.49"/>
  </r>
  <r>
    <x v="183"/>
    <n v="36"/>
    <n v="89011.67"/>
    <n v="37"/>
    <n v="88487.87"/>
    <n v="177499.53999999899"/>
  </r>
  <r>
    <x v="184"/>
    <n v="33"/>
    <n v="95391.26"/>
    <n v="31"/>
    <n v="81820.509999999995"/>
    <n v="177211.77"/>
  </r>
  <r>
    <x v="185"/>
    <n v="42"/>
    <n v="106474.69"/>
    <n v="30"/>
    <n v="70619.08"/>
    <n v="177093.77"/>
  </r>
  <r>
    <x v="186"/>
    <n v="35"/>
    <n v="82390.09"/>
    <n v="37"/>
    <n v="94637.77"/>
    <n v="177027.86"/>
  </r>
  <r>
    <x v="187"/>
    <n v="45"/>
    <n v="114053.85"/>
    <n v="31"/>
    <n v="62779.18"/>
    <n v="176833.03"/>
  </r>
  <r>
    <x v="188"/>
    <n v="35"/>
    <n v="105418.51"/>
    <n v="27"/>
    <n v="71398.73"/>
    <n v="176817.24"/>
  </r>
  <r>
    <x v="189"/>
    <n v="25"/>
    <n v="58575.13"/>
    <n v="42"/>
    <n v="118201.3"/>
    <n v="176776.43"/>
  </r>
  <r>
    <x v="190"/>
    <n v="35"/>
    <n v="81869.34"/>
    <n v="33"/>
    <n v="94839.55"/>
    <n v="176708.89"/>
  </r>
  <r>
    <x v="191"/>
    <n v="29"/>
    <n v="82871.47"/>
    <n v="38"/>
    <n v="93817.15"/>
    <n v="176688.62"/>
  </r>
  <r>
    <x v="192"/>
    <n v="32"/>
    <n v="73045.179999999993"/>
    <n v="41"/>
    <n v="103557.26"/>
    <n v="176602.44"/>
  </r>
  <r>
    <x v="193"/>
    <n v="36"/>
    <n v="64749.39"/>
    <n v="39"/>
    <n v="111619.28"/>
    <n v="176368.66999999899"/>
  </r>
  <r>
    <x v="194"/>
    <n v="32"/>
    <n v="85513.14"/>
    <n v="33"/>
    <n v="90853.759999999995"/>
    <n v="176366.9"/>
  </r>
  <r>
    <x v="195"/>
    <n v="31"/>
    <n v="67772.66"/>
    <n v="38"/>
    <n v="108508.36"/>
    <n v="176281.02"/>
  </r>
  <r>
    <x v="196"/>
    <n v="32"/>
    <n v="90272.41"/>
    <n v="30"/>
    <n v="85989.57"/>
    <n v="176261.98"/>
  </r>
  <r>
    <x v="197"/>
    <n v="28"/>
    <n v="76145.429999999993"/>
    <n v="40"/>
    <n v="100074.01"/>
    <n v="176219.44"/>
  </r>
  <r>
    <x v="198"/>
    <n v="38"/>
    <n v="100414.63"/>
    <n v="30"/>
    <n v="75664.149999999994"/>
    <n v="176078.78"/>
  </r>
  <r>
    <x v="199"/>
    <n v="29"/>
    <n v="73000.240000000005"/>
    <n v="35"/>
    <n v="103067.47"/>
    <n v="176067.71"/>
  </r>
  <r>
    <x v="200"/>
    <n v="36"/>
    <n v="101158.66"/>
    <n v="33"/>
    <n v="74893.95"/>
    <n v="176052.61"/>
  </r>
  <r>
    <x v="201"/>
    <n v="35"/>
    <n v="98141.23"/>
    <n v="33"/>
    <n v="77899.48"/>
    <n v="176040.71"/>
  </r>
  <r>
    <x v="202"/>
    <n v="37"/>
    <n v="97129.82"/>
    <n v="36"/>
    <n v="78882.899999999994"/>
    <n v="176012.72"/>
  </r>
  <r>
    <x v="203"/>
    <n v="32"/>
    <n v="86698.22"/>
    <n v="32"/>
    <n v="89292.41"/>
    <n v="175990.63"/>
  </r>
  <r>
    <x v="204"/>
    <n v="28"/>
    <n v="74721.09"/>
    <n v="47"/>
    <n v="101263.74"/>
    <n v="175984.83"/>
  </r>
  <r>
    <x v="205"/>
    <n v="36"/>
    <n v="80621.679999999993"/>
    <n v="37"/>
    <n v="95353.78"/>
    <n v="175975.46"/>
  </r>
  <r>
    <x v="206"/>
    <n v="28"/>
    <n v="79834.33"/>
    <n v="36"/>
    <n v="96134.94"/>
    <n v="175969.27"/>
  </r>
  <r>
    <x v="207"/>
    <n v="34"/>
    <n v="81735.48"/>
    <n v="41"/>
    <n v="93985.71"/>
    <n v="175721.19"/>
  </r>
  <r>
    <x v="208"/>
    <n v="33"/>
    <n v="87120.47"/>
    <n v="36"/>
    <n v="88564.19"/>
    <n v="175684.66"/>
  </r>
  <r>
    <x v="209"/>
    <n v="32"/>
    <n v="78316.08"/>
    <n v="33"/>
    <n v="97284.03"/>
    <n v="175600.11"/>
  </r>
  <r>
    <x v="210"/>
    <n v="38"/>
    <n v="107722.33"/>
    <n v="27"/>
    <n v="67606.31"/>
    <n v="175328.64000000001"/>
  </r>
  <r>
    <x v="211"/>
    <n v="39"/>
    <n v="105490.13"/>
    <n v="29"/>
    <n v="69525.06"/>
    <n v="175015.19"/>
  </r>
  <r>
    <x v="212"/>
    <n v="32"/>
    <n v="67920.12"/>
    <n v="35"/>
    <n v="106998.07"/>
    <n v="174918.19"/>
  </r>
  <r>
    <x v="213"/>
    <n v="29"/>
    <n v="79927.429999999993"/>
    <n v="34"/>
    <n v="94954.59"/>
    <n v="174882.02"/>
  </r>
  <r>
    <x v="214"/>
    <n v="39"/>
    <n v="95463.67"/>
    <n v="30"/>
    <n v="79319.289999999994"/>
    <n v="174782.96"/>
  </r>
  <r>
    <x v="215"/>
    <n v="48"/>
    <n v="108655.73"/>
    <n v="28"/>
    <n v="66110.58"/>
    <n v="174766.31"/>
  </r>
  <r>
    <x v="216"/>
    <n v="32"/>
    <n v="80472.63"/>
    <n v="37"/>
    <n v="94286.46"/>
    <n v="174759.09"/>
  </r>
  <r>
    <x v="217"/>
    <n v="35"/>
    <n v="81029.149999999994"/>
    <n v="39"/>
    <n v="93729.19"/>
    <n v="174758.34"/>
  </r>
  <r>
    <x v="218"/>
    <n v="36"/>
    <n v="94533.3"/>
    <n v="32"/>
    <n v="80211.06"/>
    <n v="174744.36"/>
  </r>
  <r>
    <x v="219"/>
    <n v="32"/>
    <n v="84062.16"/>
    <n v="36"/>
    <n v="90658.81"/>
    <n v="174720.97"/>
  </r>
  <r>
    <x v="220"/>
    <n v="41"/>
    <n v="117970.57"/>
    <n v="23"/>
    <n v="56548.72"/>
    <n v="174519.29"/>
  </r>
  <r>
    <x v="221"/>
    <n v="40"/>
    <n v="98469.16"/>
    <n v="29"/>
    <n v="75888.53"/>
    <n v="174357.69"/>
  </r>
  <r>
    <x v="222"/>
    <n v="34"/>
    <n v="94896.03"/>
    <n v="28"/>
    <n v="79403.88"/>
    <n v="174299.91"/>
  </r>
  <r>
    <x v="223"/>
    <n v="32"/>
    <n v="84550.85"/>
    <n v="37"/>
    <n v="89537.93"/>
    <n v="174088.78"/>
  </r>
  <r>
    <x v="224"/>
    <n v="33"/>
    <n v="83649.03"/>
    <n v="34"/>
    <n v="90419.83"/>
    <n v="174068.86"/>
  </r>
  <r>
    <x v="225"/>
    <n v="32"/>
    <n v="99833.66"/>
    <n v="33"/>
    <n v="74232.83"/>
    <n v="174066.49"/>
  </r>
  <r>
    <x v="226"/>
    <n v="34"/>
    <n v="95783.07"/>
    <n v="33"/>
    <n v="78275.429999999993"/>
    <n v="174058.5"/>
  </r>
  <r>
    <x v="227"/>
    <n v="29"/>
    <n v="86398.96"/>
    <n v="34"/>
    <n v="87596.3"/>
    <n v="173995.26"/>
  </r>
  <r>
    <x v="228"/>
    <n v="34"/>
    <n v="76026.63"/>
    <n v="38"/>
    <n v="97746.01"/>
    <n v="173772.64"/>
  </r>
  <r>
    <x v="229"/>
    <n v="34"/>
    <n v="78781.91"/>
    <n v="38"/>
    <n v="94853.69"/>
    <n v="173635.6"/>
  </r>
  <r>
    <x v="230"/>
    <n v="29"/>
    <n v="91117.35"/>
    <n v="31"/>
    <n v="82510.06"/>
    <n v="173627.41"/>
  </r>
  <r>
    <x v="231"/>
    <n v="38"/>
    <n v="100597.73"/>
    <n v="28"/>
    <n v="73005.59"/>
    <n v="173603.32"/>
  </r>
  <r>
    <x v="232"/>
    <n v="29"/>
    <n v="86524.800000000003"/>
    <n v="37"/>
    <n v="87059.19"/>
    <n v="173583.99"/>
  </r>
  <r>
    <x v="233"/>
    <n v="43"/>
    <n v="107517.48"/>
    <n v="24"/>
    <n v="66023.320000000007"/>
    <n v="173540.8"/>
  </r>
  <r>
    <x v="234"/>
    <n v="38"/>
    <n v="91097.27"/>
    <n v="32"/>
    <n v="82404.42"/>
    <n v="173501.69"/>
  </r>
  <r>
    <x v="235"/>
    <n v="32"/>
    <n v="91090.75"/>
    <n v="31"/>
    <n v="82376.84"/>
    <n v="173467.59"/>
  </r>
  <r>
    <x v="236"/>
    <n v="41"/>
    <n v="105973.34"/>
    <n v="25"/>
    <n v="67433.990000000005"/>
    <n v="173407.33"/>
  </r>
  <r>
    <x v="237"/>
    <n v="34"/>
    <n v="80403.31"/>
    <n v="36"/>
    <n v="92959.17"/>
    <n v="173362.47999999899"/>
  </r>
  <r>
    <x v="238"/>
    <n v="40"/>
    <n v="101893.42"/>
    <n v="29"/>
    <n v="71456.44"/>
    <n v="173349.86"/>
  </r>
  <r>
    <x v="239"/>
    <n v="38"/>
    <n v="90087.45"/>
    <n v="29"/>
    <n v="83240.990000000005"/>
    <n v="173328.44"/>
  </r>
  <r>
    <x v="240"/>
    <n v="39"/>
    <n v="94182.49"/>
    <n v="28"/>
    <n v="78942"/>
    <n v="173124.49"/>
  </r>
  <r>
    <x v="241"/>
    <n v="31"/>
    <n v="81972.160000000003"/>
    <n v="39"/>
    <n v="91120.67"/>
    <n v="173092.83"/>
  </r>
  <r>
    <x v="242"/>
    <n v="37"/>
    <n v="91525.53"/>
    <n v="30"/>
    <n v="81511.27"/>
    <n v="173036.79999999999"/>
  </r>
  <r>
    <x v="243"/>
    <n v="39"/>
    <n v="81914.210000000006"/>
    <n v="36"/>
    <n v="91003.16"/>
    <n v="172917.37"/>
  </r>
  <r>
    <x v="244"/>
    <n v="25"/>
    <n v="69841.62"/>
    <n v="39"/>
    <n v="103061.52"/>
    <n v="172903.14"/>
  </r>
  <r>
    <x v="245"/>
    <n v="29"/>
    <n v="82524.789999999994"/>
    <n v="42"/>
    <n v="90375.27"/>
    <n v="172900.06"/>
  </r>
  <r>
    <x v="246"/>
    <n v="35"/>
    <n v="99099.33"/>
    <n v="27"/>
    <n v="73756.88"/>
    <n v="172856.21"/>
  </r>
  <r>
    <x v="247"/>
    <n v="34"/>
    <n v="91950.37"/>
    <n v="31"/>
    <n v="80889.02"/>
    <n v="172839.39"/>
  </r>
  <r>
    <x v="248"/>
    <n v="32"/>
    <n v="97554.94"/>
    <n v="30"/>
    <n v="75154.14"/>
    <n v="172709.08"/>
  </r>
  <r>
    <x v="249"/>
    <n v="37"/>
    <n v="99640.74"/>
    <n v="24"/>
    <n v="73057.679999999993"/>
    <n v="172698.41999999899"/>
  </r>
  <r>
    <x v="250"/>
    <n v="32"/>
    <n v="96376.41"/>
    <n v="30"/>
    <n v="76320.160000000003"/>
    <n v="172696.57"/>
  </r>
  <r>
    <x v="251"/>
    <n v="36"/>
    <n v="87495.83"/>
    <n v="37"/>
    <n v="85160.18"/>
    <n v="172656.01"/>
  </r>
  <r>
    <x v="252"/>
    <n v="31"/>
    <n v="86932.7"/>
    <n v="32"/>
    <n v="85614.96"/>
    <n v="172547.66"/>
  </r>
  <r>
    <x v="253"/>
    <n v="29"/>
    <n v="77766.11"/>
    <n v="36"/>
    <n v="94601.41"/>
    <n v="172367.52"/>
  </r>
  <r>
    <x v="254"/>
    <n v="27"/>
    <n v="77695.22"/>
    <n v="36"/>
    <n v="94618.26"/>
    <n v="172313.47999999899"/>
  </r>
  <r>
    <x v="255"/>
    <n v="35"/>
    <n v="87385.95"/>
    <n v="31"/>
    <n v="84763.6"/>
    <n v="172149.55"/>
  </r>
  <r>
    <x v="256"/>
    <n v="33"/>
    <n v="77542.179999999993"/>
    <n v="38"/>
    <n v="94589.6"/>
    <n v="172131.78"/>
  </r>
  <r>
    <x v="257"/>
    <n v="37"/>
    <n v="99825.91"/>
    <n v="32"/>
    <n v="72288.179999999993"/>
    <n v="172114.09"/>
  </r>
  <r>
    <x v="258"/>
    <n v="33"/>
    <n v="81967.259999999995"/>
    <n v="36"/>
    <n v="90129.32"/>
    <n v="172096.58"/>
  </r>
  <r>
    <x v="259"/>
    <n v="28"/>
    <n v="63674.96"/>
    <n v="40"/>
    <n v="108380.61"/>
    <n v="172055.57"/>
  </r>
  <r>
    <x v="260"/>
    <n v="39"/>
    <n v="101682.25"/>
    <n v="31"/>
    <n v="70128.55"/>
    <n v="171810.8"/>
  </r>
  <r>
    <x v="261"/>
    <n v="32"/>
    <n v="84031.6"/>
    <n v="33"/>
    <n v="87726.9"/>
    <n v="171758.5"/>
  </r>
  <r>
    <x v="262"/>
    <n v="39"/>
    <n v="91901.37"/>
    <n v="27"/>
    <n v="79853.600000000006"/>
    <n v="171754.97"/>
  </r>
  <r>
    <x v="263"/>
    <n v="30"/>
    <n v="77768.78"/>
    <n v="33"/>
    <n v="93968.15"/>
    <n v="171736.93"/>
  </r>
  <r>
    <x v="264"/>
    <n v="37"/>
    <n v="94757.46"/>
    <n v="28"/>
    <n v="76943.95"/>
    <n v="171701.41"/>
  </r>
  <r>
    <x v="265"/>
    <n v="29"/>
    <n v="67483.23"/>
    <n v="42"/>
    <n v="104214.93"/>
    <n v="171698.15999999901"/>
  </r>
  <r>
    <x v="266"/>
    <n v="33"/>
    <n v="84177.46"/>
    <n v="37"/>
    <n v="87305.46"/>
    <n v="171482.92"/>
  </r>
  <r>
    <x v="267"/>
    <n v="34"/>
    <n v="87203.17"/>
    <n v="34"/>
    <n v="84182.67"/>
    <n v="171385.84"/>
  </r>
  <r>
    <x v="268"/>
    <n v="38"/>
    <n v="101854.97"/>
    <n v="25"/>
    <n v="69485.17"/>
    <n v="171340.14"/>
  </r>
  <r>
    <x v="269"/>
    <n v="34"/>
    <n v="76043.87"/>
    <n v="37"/>
    <n v="95289.19"/>
    <n v="171333.06"/>
  </r>
  <r>
    <x v="270"/>
    <n v="30"/>
    <n v="79815.820000000007"/>
    <n v="32"/>
    <n v="91505.69"/>
    <n v="171321.51"/>
  </r>
  <r>
    <x v="271"/>
    <n v="29"/>
    <n v="70034.05"/>
    <n v="39"/>
    <n v="101274.48"/>
    <n v="171308.53"/>
  </r>
  <r>
    <x v="272"/>
    <n v="27"/>
    <n v="66494.97"/>
    <n v="36"/>
    <n v="104731.96"/>
    <n v="171226.93"/>
  </r>
  <r>
    <x v="273"/>
    <n v="32"/>
    <n v="70079.34"/>
    <n v="39"/>
    <n v="101019.84"/>
    <n v="171099.18"/>
  </r>
  <r>
    <x v="274"/>
    <n v="37"/>
    <n v="110649.3"/>
    <n v="23"/>
    <n v="60371.35"/>
    <n v="171020.65"/>
  </r>
  <r>
    <x v="275"/>
    <n v="30"/>
    <n v="81090.559999999998"/>
    <n v="35"/>
    <n v="89645.13"/>
    <n v="170735.69"/>
  </r>
  <r>
    <x v="276"/>
    <n v="41"/>
    <n v="102929.13"/>
    <n v="26"/>
    <n v="67693.87"/>
    <n v="170623"/>
  </r>
  <r>
    <x v="277"/>
    <n v="29"/>
    <n v="65880.69"/>
    <n v="40"/>
    <n v="104540.34"/>
    <n v="170421.03"/>
  </r>
  <r>
    <x v="278"/>
    <n v="37"/>
    <n v="87255.19"/>
    <n v="29"/>
    <n v="83076.61"/>
    <n v="170331.8"/>
  </r>
  <r>
    <x v="279"/>
    <n v="28"/>
    <n v="64436.59"/>
    <n v="39"/>
    <n v="105867.71"/>
    <n v="170304.3"/>
  </r>
  <r>
    <x v="280"/>
    <n v="33"/>
    <n v="84963.41"/>
    <n v="31"/>
    <n v="85292.62"/>
    <n v="170256.03"/>
  </r>
  <r>
    <x v="281"/>
    <n v="31"/>
    <n v="75940.350000000006"/>
    <n v="31"/>
    <n v="94144.25"/>
    <n v="170084.6"/>
  </r>
  <r>
    <x v="282"/>
    <n v="29"/>
    <n v="84171.31"/>
    <n v="34"/>
    <n v="85805.15"/>
    <n v="169976.46"/>
  </r>
  <r>
    <x v="283"/>
    <n v="35"/>
    <n v="98154.25"/>
    <n v="33"/>
    <n v="71782.42"/>
    <n v="169936.66999999899"/>
  </r>
  <r>
    <x v="284"/>
    <n v="33"/>
    <n v="83923.02"/>
    <n v="33"/>
    <n v="86005.03"/>
    <n v="169928.05"/>
  </r>
  <r>
    <x v="285"/>
    <n v="35"/>
    <n v="83455.62"/>
    <n v="33"/>
    <n v="86420.44"/>
    <n v="169876.06"/>
  </r>
  <r>
    <x v="286"/>
    <n v="33"/>
    <n v="82898.789999999994"/>
    <n v="30"/>
    <n v="86950.07"/>
    <n v="169848.86"/>
  </r>
  <r>
    <x v="287"/>
    <n v="33"/>
    <n v="83309"/>
    <n v="31"/>
    <n v="86519.48"/>
    <n v="169828.47999999899"/>
  </r>
  <r>
    <x v="288"/>
    <n v="32"/>
    <n v="91384.09"/>
    <n v="31"/>
    <n v="78411.149999999994"/>
    <n v="169795.24"/>
  </r>
  <r>
    <x v="289"/>
    <n v="32"/>
    <n v="68579.990000000005"/>
    <n v="36"/>
    <n v="101071.57"/>
    <n v="169651.56"/>
  </r>
  <r>
    <x v="290"/>
    <n v="35"/>
    <n v="89986.27"/>
    <n v="30"/>
    <n v="79597.72"/>
    <n v="169583.99"/>
  </r>
  <r>
    <x v="291"/>
    <n v="29"/>
    <n v="82436.02"/>
    <n v="31"/>
    <n v="87083.73"/>
    <n v="169519.75"/>
  </r>
  <r>
    <x v="292"/>
    <n v="35"/>
    <n v="97469.37"/>
    <n v="32"/>
    <n v="71997.69"/>
    <n v="169467.06"/>
  </r>
  <r>
    <x v="293"/>
    <n v="41"/>
    <n v="118682.16"/>
    <n v="21"/>
    <n v="50762.67"/>
    <n v="169444.83"/>
  </r>
  <r>
    <x v="294"/>
    <n v="39"/>
    <n v="95005.13"/>
    <n v="28"/>
    <n v="74398.45"/>
    <n v="169403.58"/>
  </r>
  <r>
    <x v="295"/>
    <n v="34"/>
    <n v="89228.479999999996"/>
    <n v="31"/>
    <n v="80139.8"/>
    <n v="169368.28"/>
  </r>
  <r>
    <x v="296"/>
    <n v="42"/>
    <n v="93187.23"/>
    <n v="33"/>
    <n v="76149.740000000005"/>
    <n v="169336.97"/>
  </r>
  <r>
    <x v="297"/>
    <n v="35"/>
    <n v="89579.51"/>
    <n v="31"/>
    <n v="79696.960000000006"/>
    <n v="169276.47"/>
  </r>
  <r>
    <x v="298"/>
    <n v="39"/>
    <n v="98374"/>
    <n v="25"/>
    <n v="70818.100000000006"/>
    <n v="169192.1"/>
  </r>
  <r>
    <x v="299"/>
    <n v="27"/>
    <n v="72849.14"/>
    <n v="35"/>
    <n v="96331.99"/>
    <n v="169181.13"/>
  </r>
  <r>
    <x v="300"/>
    <n v="32"/>
    <n v="82894.350000000006"/>
    <n v="32"/>
    <n v="86262.54"/>
    <n v="169156.89"/>
  </r>
  <r>
    <x v="301"/>
    <n v="31"/>
    <n v="83899.05"/>
    <n v="32"/>
    <n v="85085.48"/>
    <n v="168984.53"/>
  </r>
  <r>
    <x v="302"/>
    <n v="30"/>
    <n v="68829.95"/>
    <n v="36"/>
    <n v="100148.11"/>
    <n v="168978.06"/>
  </r>
  <r>
    <x v="303"/>
    <n v="33"/>
    <n v="84859.27"/>
    <n v="35"/>
    <n v="84111.51"/>
    <n v="168970.78"/>
  </r>
  <r>
    <x v="304"/>
    <n v="40"/>
    <n v="97104.77"/>
    <n v="35"/>
    <n v="71786.240000000005"/>
    <n v="168891.01"/>
  </r>
  <r>
    <x v="305"/>
    <n v="31"/>
    <n v="74329.83"/>
    <n v="32"/>
    <n v="94529.56"/>
    <n v="168859.39"/>
  </r>
  <r>
    <x v="306"/>
    <n v="32"/>
    <n v="84480.58"/>
    <n v="29"/>
    <n v="84291.19"/>
    <n v="168771.77"/>
  </r>
  <r>
    <x v="307"/>
    <n v="24"/>
    <n v="56579.61"/>
    <n v="42"/>
    <n v="112022.39999999999"/>
    <n v="168602.01"/>
  </r>
  <r>
    <x v="308"/>
    <n v="23"/>
    <n v="64244.82"/>
    <n v="47"/>
    <n v="104321.02"/>
    <n v="168565.84"/>
  </r>
  <r>
    <x v="309"/>
    <n v="38"/>
    <n v="86210.86"/>
    <n v="38"/>
    <n v="82306.12"/>
    <n v="168516.97999999899"/>
  </r>
  <r>
    <x v="310"/>
    <n v="31"/>
    <n v="79576.38"/>
    <n v="31"/>
    <n v="88845.84"/>
    <n v="168422.22"/>
  </r>
  <r>
    <x v="311"/>
    <n v="34"/>
    <n v="87071.08"/>
    <n v="37"/>
    <n v="81280.240000000005"/>
    <n v="168351.32"/>
  </r>
  <r>
    <x v="312"/>
    <n v="32"/>
    <n v="93761.23"/>
    <n v="25"/>
    <n v="74511.42"/>
    <n v="168272.65"/>
  </r>
  <r>
    <x v="313"/>
    <n v="28"/>
    <n v="72414.98"/>
    <n v="32"/>
    <n v="95849.27"/>
    <n v="168264.25"/>
  </r>
  <r>
    <x v="314"/>
    <n v="39"/>
    <n v="101328.94"/>
    <n v="28"/>
    <n v="66894.19"/>
    <n v="168223.13"/>
  </r>
  <r>
    <x v="315"/>
    <n v="35"/>
    <n v="87551.43"/>
    <n v="34"/>
    <n v="80665.279999999999"/>
    <n v="168216.71"/>
  </r>
  <r>
    <x v="316"/>
    <n v="29"/>
    <n v="66912.97"/>
    <n v="39"/>
    <n v="101237.72"/>
    <n v="168150.69"/>
  </r>
  <r>
    <x v="317"/>
    <n v="28"/>
    <n v="82761.279999999999"/>
    <n v="38"/>
    <n v="85358.9"/>
    <n v="168120.18"/>
  </r>
  <r>
    <x v="318"/>
    <n v="30"/>
    <n v="85348.41"/>
    <n v="31"/>
    <n v="82615.34"/>
    <n v="167963.75"/>
  </r>
  <r>
    <x v="319"/>
    <n v="33"/>
    <n v="67601.08"/>
    <n v="36"/>
    <n v="100312.56"/>
    <n v="167913.64"/>
  </r>
  <r>
    <x v="320"/>
    <n v="28"/>
    <n v="76670.259999999995"/>
    <n v="34"/>
    <n v="91235.81"/>
    <n v="167906.07"/>
  </r>
  <r>
    <x v="321"/>
    <n v="32"/>
    <n v="86692.2"/>
    <n v="33"/>
    <n v="81183.649999999994"/>
    <n v="167875.84999999899"/>
  </r>
  <r>
    <x v="322"/>
    <n v="31"/>
    <n v="90549.15"/>
    <n v="31"/>
    <n v="77317.88"/>
    <n v="167867.03"/>
  </r>
  <r>
    <x v="323"/>
    <n v="31"/>
    <n v="65964.81"/>
    <n v="38"/>
    <n v="101877.86"/>
    <n v="167842.66999999899"/>
  </r>
  <r>
    <x v="324"/>
    <n v="27"/>
    <n v="75956.94"/>
    <n v="35"/>
    <n v="91873.06"/>
    <n v="167830"/>
  </r>
  <r>
    <x v="325"/>
    <n v="32"/>
    <n v="78153.14"/>
    <n v="34"/>
    <n v="89606.13"/>
    <n v="167759.26999999999"/>
  </r>
  <r>
    <x v="326"/>
    <n v="31"/>
    <n v="77575.759999999995"/>
    <n v="36"/>
    <n v="90147.85"/>
    <n v="167723.60999999999"/>
  </r>
  <r>
    <x v="327"/>
    <n v="39"/>
    <n v="93208.68"/>
    <n v="29"/>
    <n v="74508.02"/>
    <n v="167716.70000000001"/>
  </r>
  <r>
    <x v="328"/>
    <n v="32"/>
    <n v="89070.48"/>
    <n v="32"/>
    <n v="78601.539999999994"/>
    <n v="167672.01999999999"/>
  </r>
  <r>
    <x v="329"/>
    <n v="33"/>
    <n v="78805.009999999995"/>
    <n v="30"/>
    <n v="88812.62"/>
    <n v="167617.63"/>
  </r>
  <r>
    <x v="330"/>
    <n v="34"/>
    <n v="96520.33"/>
    <n v="27"/>
    <n v="71096.509999999995"/>
    <n v="167616.84"/>
  </r>
  <r>
    <x v="331"/>
    <n v="36"/>
    <n v="89685.17"/>
    <n v="36"/>
    <n v="77913.679999999993"/>
    <n v="167598.84999999899"/>
  </r>
  <r>
    <x v="332"/>
    <n v="36"/>
    <n v="90940.3"/>
    <n v="28"/>
    <n v="76594.880000000005"/>
    <n v="167535.18"/>
  </r>
  <r>
    <x v="333"/>
    <n v="30"/>
    <n v="82023.72"/>
    <n v="34"/>
    <n v="85497.7"/>
    <n v="167521.41999999899"/>
  </r>
  <r>
    <x v="334"/>
    <n v="25"/>
    <n v="48182.46"/>
    <n v="43"/>
    <n v="119321.82"/>
    <n v="167504.28"/>
  </r>
  <r>
    <x v="335"/>
    <n v="29"/>
    <n v="66560.850000000006"/>
    <n v="40"/>
    <n v="100938.81"/>
    <n v="167499.66"/>
  </r>
  <r>
    <x v="336"/>
    <n v="41"/>
    <n v="115440.09"/>
    <n v="25"/>
    <n v="52058.74"/>
    <n v="167498.82999999999"/>
  </r>
  <r>
    <x v="337"/>
    <n v="30"/>
    <n v="77447.09"/>
    <n v="32"/>
    <n v="90006.42"/>
    <n v="167453.51"/>
  </r>
  <r>
    <x v="338"/>
    <n v="29"/>
    <n v="66235.41"/>
    <n v="37"/>
    <n v="101188.59"/>
    <n v="167424"/>
  </r>
  <r>
    <x v="339"/>
    <n v="33"/>
    <n v="78352.69"/>
    <n v="28"/>
    <n v="88991.66"/>
    <n v="167344.35"/>
  </r>
  <r>
    <x v="340"/>
    <n v="36"/>
    <n v="103613.23"/>
    <n v="22"/>
    <n v="63558.2"/>
    <n v="167171.43"/>
  </r>
  <r>
    <x v="341"/>
    <n v="25"/>
    <n v="71842.100000000006"/>
    <n v="35"/>
    <n v="95313.919999999998"/>
    <n v="167156.01999999999"/>
  </r>
  <r>
    <x v="342"/>
    <n v="40"/>
    <n v="100067.21"/>
    <n v="34"/>
    <n v="67068.210000000006"/>
    <n v="167135.42000000001"/>
  </r>
  <r>
    <x v="343"/>
    <n v="34"/>
    <n v="89985.54"/>
    <n v="32"/>
    <n v="77094"/>
    <n v="167079.53999999899"/>
  </r>
  <r>
    <x v="344"/>
    <n v="33"/>
    <n v="89728.93"/>
    <n v="29"/>
    <n v="77248.350000000006"/>
    <n v="166977.28"/>
  </r>
  <r>
    <x v="345"/>
    <n v="24"/>
    <n v="80159.94"/>
    <n v="33"/>
    <n v="86742.21"/>
    <n v="166902.15"/>
  </r>
  <r>
    <x v="346"/>
    <n v="27"/>
    <n v="65946.149999999994"/>
    <n v="46"/>
    <n v="100892.67"/>
    <n v="166838.82"/>
  </r>
  <r>
    <x v="347"/>
    <n v="37"/>
    <n v="89296.41"/>
    <n v="32"/>
    <n v="77531.03"/>
    <n v="166827.44"/>
  </r>
  <r>
    <x v="348"/>
    <n v="34"/>
    <n v="87395.89"/>
    <n v="34"/>
    <n v="79386.710000000006"/>
    <n v="166782.6"/>
  </r>
  <r>
    <x v="349"/>
    <n v="32"/>
    <n v="81490.929999999993"/>
    <n v="30"/>
    <n v="85280.27"/>
    <n v="166771.20000000001"/>
  </r>
  <r>
    <x v="350"/>
    <n v="29"/>
    <n v="84887.09"/>
    <n v="31"/>
    <n v="81843.19"/>
    <n v="166730.28"/>
  </r>
  <r>
    <x v="351"/>
    <n v="28"/>
    <n v="74260.289999999994"/>
    <n v="39"/>
    <n v="92457.01"/>
    <n v="166717.29999999999"/>
  </r>
  <r>
    <x v="352"/>
    <n v="29"/>
    <n v="73921.75"/>
    <n v="34"/>
    <n v="92792.47"/>
    <n v="166714.22"/>
  </r>
  <r>
    <x v="353"/>
    <n v="28"/>
    <n v="72349.88"/>
    <n v="40"/>
    <n v="94361.11"/>
    <n v="166710.99"/>
  </r>
  <r>
    <x v="354"/>
    <n v="34"/>
    <n v="79314.53"/>
    <n v="36"/>
    <n v="87308.42"/>
    <n v="166622.95000000001"/>
  </r>
  <r>
    <x v="355"/>
    <n v="35"/>
    <n v="91250.31"/>
    <n v="34"/>
    <n v="75334.63"/>
    <n v="166584.94"/>
  </r>
  <r>
    <x v="356"/>
    <n v="27"/>
    <n v="60257.89"/>
    <n v="37"/>
    <n v="106231.8"/>
    <n v="166489.69"/>
  </r>
  <r>
    <x v="357"/>
    <n v="38"/>
    <n v="97210.26"/>
    <n v="28"/>
    <n v="69278.5"/>
    <n v="166488.76"/>
  </r>
  <r>
    <x v="358"/>
    <n v="31"/>
    <n v="93373.78"/>
    <n v="32"/>
    <n v="73096.37"/>
    <n v="166470.15"/>
  </r>
  <r>
    <x v="359"/>
    <n v="29"/>
    <n v="80525.350000000006"/>
    <n v="27"/>
    <n v="85936.84"/>
    <n v="166462.19"/>
  </r>
  <r>
    <x v="360"/>
    <n v="34"/>
    <n v="89398.399999999994"/>
    <n v="32"/>
    <n v="77060.320000000007"/>
    <n v="166458.72"/>
  </r>
  <r>
    <x v="361"/>
    <n v="35"/>
    <n v="93201.55"/>
    <n v="32"/>
    <n v="73162.73"/>
    <n v="166364.28"/>
  </r>
  <r>
    <x v="362"/>
    <n v="28"/>
    <n v="81368.78"/>
    <n v="31"/>
    <n v="84964.25"/>
    <n v="166333.03"/>
  </r>
  <r>
    <x v="363"/>
    <n v="45"/>
    <n v="106107.91"/>
    <n v="28"/>
    <n v="60198.84"/>
    <n v="166306.75"/>
  </r>
  <r>
    <x v="364"/>
    <n v="27"/>
    <n v="79961.210000000006"/>
    <n v="32"/>
    <n v="86263.32"/>
    <n v="166224.53"/>
  </r>
  <r>
    <x v="365"/>
    <n v="25"/>
    <n v="77460.08"/>
    <n v="33"/>
    <n v="88744.81"/>
    <n v="166204.89000000001"/>
  </r>
  <r>
    <x v="366"/>
    <n v="38"/>
    <n v="90105.46"/>
    <n v="35"/>
    <n v="76043.66"/>
    <n v="166149.12"/>
  </r>
  <r>
    <x v="367"/>
    <n v="29"/>
    <n v="75403.520000000004"/>
    <n v="35"/>
    <n v="90722.53"/>
    <n v="166126.04999999999"/>
  </r>
  <r>
    <x v="368"/>
    <n v="30"/>
    <n v="78976.52"/>
    <n v="30"/>
    <n v="87118.41"/>
    <n v="166094.93"/>
  </r>
  <r>
    <x v="369"/>
    <n v="29"/>
    <n v="93241.66"/>
    <n v="31"/>
    <n v="72832.45"/>
    <n v="166074.10999999999"/>
  </r>
  <r>
    <x v="370"/>
    <n v="25"/>
    <n v="74411.100000000006"/>
    <n v="37"/>
    <n v="91593.98"/>
    <n v="166005.07999999999"/>
  </r>
  <r>
    <x v="371"/>
    <n v="36"/>
    <n v="90536.44"/>
    <n v="30"/>
    <n v="75414.820000000007"/>
    <n v="165951.26"/>
  </r>
  <r>
    <x v="372"/>
    <n v="38"/>
    <n v="89064.31"/>
    <n v="26"/>
    <n v="76868.55"/>
    <n v="165932.85999999999"/>
  </r>
  <r>
    <x v="373"/>
    <n v="37"/>
    <n v="106722.73"/>
    <n v="24"/>
    <n v="59180.17"/>
    <n v="165902.9"/>
  </r>
  <r>
    <x v="374"/>
    <n v="33"/>
    <n v="81432.47"/>
    <n v="35"/>
    <n v="84423.2"/>
    <n v="165855.66999999899"/>
  </r>
  <r>
    <x v="375"/>
    <n v="32"/>
    <n v="68188.59"/>
    <n v="40"/>
    <n v="97592.36"/>
    <n v="165780.95000000001"/>
  </r>
  <r>
    <x v="376"/>
    <n v="25"/>
    <n v="68235.86"/>
    <n v="38"/>
    <n v="97530.76"/>
    <n v="165766.62"/>
  </r>
  <r>
    <x v="377"/>
    <n v="36"/>
    <n v="82378.740000000005"/>
    <n v="30"/>
    <n v="83336.83"/>
    <n v="165715.57"/>
  </r>
  <r>
    <x v="378"/>
    <n v="23"/>
    <n v="69242.28"/>
    <n v="37"/>
    <n v="96464.21"/>
    <n v="165706.49"/>
  </r>
  <r>
    <x v="379"/>
    <n v="37"/>
    <n v="88654.36"/>
    <n v="33"/>
    <n v="77033.279999999999"/>
    <n v="165687.64000000001"/>
  </r>
  <r>
    <x v="380"/>
    <n v="32"/>
    <n v="91427.9"/>
    <n v="33"/>
    <n v="74237.960000000006"/>
    <n v="165665.85999999999"/>
  </r>
  <r>
    <x v="381"/>
    <n v="39"/>
    <n v="97926.38"/>
    <n v="27"/>
    <n v="67730.59"/>
    <n v="165656.97"/>
  </r>
  <r>
    <x v="382"/>
    <n v="40"/>
    <n v="103841.97"/>
    <n v="24"/>
    <n v="61659.21"/>
    <n v="165501.18"/>
  </r>
  <r>
    <x v="383"/>
    <n v="32"/>
    <n v="83589.98"/>
    <n v="29"/>
    <n v="81910.570000000007"/>
    <n v="165500.54999999999"/>
  </r>
  <r>
    <x v="384"/>
    <n v="33"/>
    <n v="91168.03"/>
    <n v="33"/>
    <n v="74301.070000000007"/>
    <n v="165469.1"/>
  </r>
  <r>
    <x v="385"/>
    <n v="26"/>
    <n v="76495.64"/>
    <n v="36"/>
    <n v="88846.63"/>
    <n v="165342.26999999999"/>
  </r>
  <r>
    <x v="386"/>
    <n v="33"/>
    <n v="89366.65"/>
    <n v="28"/>
    <n v="75968.95"/>
    <n v="165335.59999999899"/>
  </r>
  <r>
    <x v="387"/>
    <n v="31"/>
    <n v="88616.67"/>
    <n v="31"/>
    <n v="76715.429999999993"/>
    <n v="165332.09999999899"/>
  </r>
  <r>
    <x v="388"/>
    <n v="32"/>
    <n v="87488.27"/>
    <n v="28"/>
    <n v="77696.36"/>
    <n v="165184.63"/>
  </r>
  <r>
    <x v="389"/>
    <n v="27"/>
    <n v="76866.89"/>
    <n v="34"/>
    <n v="88313.55"/>
    <n v="165180.44"/>
  </r>
  <r>
    <x v="390"/>
    <n v="32"/>
    <n v="87904.85"/>
    <n v="32"/>
    <n v="77245.63"/>
    <n v="165150.48000000001"/>
  </r>
  <r>
    <x v="391"/>
    <n v="32"/>
    <n v="89288.62"/>
    <n v="31"/>
    <n v="75797.55"/>
    <n v="165086.16999999899"/>
  </r>
  <r>
    <x v="392"/>
    <n v="26"/>
    <n v="70922.58"/>
    <n v="35"/>
    <n v="94135.83"/>
    <n v="165058.41"/>
  </r>
  <r>
    <x v="393"/>
    <n v="30"/>
    <n v="80198.240000000005"/>
    <n v="35"/>
    <n v="84855.85"/>
    <n v="165054.09"/>
  </r>
  <r>
    <x v="394"/>
    <n v="41"/>
    <n v="104256.46"/>
    <n v="19"/>
    <n v="60683.25"/>
    <n v="164939.71"/>
  </r>
  <r>
    <x v="395"/>
    <n v="32"/>
    <n v="75550.460000000006"/>
    <n v="33"/>
    <n v="89373.8"/>
    <n v="164924.26"/>
  </r>
  <r>
    <x v="396"/>
    <n v="33"/>
    <n v="93759.87"/>
    <n v="35"/>
    <n v="71096.59"/>
    <n v="164856.46"/>
  </r>
  <r>
    <x v="397"/>
    <n v="21"/>
    <n v="47571.49"/>
    <n v="45"/>
    <n v="117257.35"/>
    <n v="164828.84"/>
  </r>
  <r>
    <x v="398"/>
    <n v="23"/>
    <n v="65588.91"/>
    <n v="39"/>
    <n v="99233.69"/>
    <n v="164822.6"/>
  </r>
  <r>
    <x v="399"/>
    <n v="22"/>
    <n v="59007.68"/>
    <n v="36"/>
    <n v="105658.19"/>
    <n v="164665.87"/>
  </r>
  <r>
    <x v="400"/>
    <n v="34"/>
    <n v="85522.2"/>
    <n v="34"/>
    <n v="79008.06"/>
    <n v="164530.26"/>
  </r>
  <r>
    <x v="401"/>
    <n v="38"/>
    <n v="95513.06"/>
    <n v="26"/>
    <n v="68951.88"/>
    <n v="164464.94"/>
  </r>
  <r>
    <x v="402"/>
    <n v="27"/>
    <n v="67071.38"/>
    <n v="33"/>
    <n v="97362.57"/>
    <n v="164433.95000000001"/>
  </r>
  <r>
    <x v="403"/>
    <n v="32"/>
    <n v="80327.460000000006"/>
    <n v="28"/>
    <n v="83942.11"/>
    <n v="164269.57"/>
  </r>
  <r>
    <x v="404"/>
    <n v="34"/>
    <n v="86109.7"/>
    <n v="26"/>
    <n v="78151.25"/>
    <n v="164260.95000000001"/>
  </r>
  <r>
    <x v="405"/>
    <n v="34"/>
    <n v="78435.789999999994"/>
    <n v="36"/>
    <n v="85813.45"/>
    <n v="164249.24"/>
  </r>
  <r>
    <x v="406"/>
    <n v="35"/>
    <n v="98732.2"/>
    <n v="26"/>
    <n v="65478.39"/>
    <n v="164210.59"/>
  </r>
  <r>
    <x v="407"/>
    <n v="31"/>
    <n v="81615.179999999993"/>
    <n v="31"/>
    <n v="82589.94"/>
    <n v="164205.12"/>
  </r>
  <r>
    <x v="408"/>
    <n v="41"/>
    <n v="95450.3"/>
    <n v="30"/>
    <n v="68691.45"/>
    <n v="164141.75"/>
  </r>
  <r>
    <x v="409"/>
    <n v="27"/>
    <n v="70571.100000000006"/>
    <n v="36"/>
    <n v="93511.1"/>
    <n v="164082.20000000001"/>
  </r>
  <r>
    <x v="410"/>
    <n v="25"/>
    <n v="65594.02"/>
    <n v="34"/>
    <n v="98482.11"/>
    <n v="164076.13"/>
  </r>
  <r>
    <x v="411"/>
    <n v="30"/>
    <n v="75437.47"/>
    <n v="40"/>
    <n v="88615"/>
    <n v="164052.47"/>
  </r>
  <r>
    <x v="412"/>
    <n v="25"/>
    <n v="65220.23"/>
    <n v="38"/>
    <n v="98783.69"/>
    <n v="164003.92000000001"/>
  </r>
  <r>
    <x v="413"/>
    <n v="30"/>
    <n v="91993.07"/>
    <n v="27"/>
    <n v="71941.600000000006"/>
    <n v="163934.67000000001"/>
  </r>
  <r>
    <x v="414"/>
    <n v="39"/>
    <n v="91860.94"/>
    <n v="26"/>
    <n v="72064.83"/>
    <n v="163925.76999999999"/>
  </r>
  <r>
    <x v="415"/>
    <n v="32"/>
    <n v="77899.47"/>
    <n v="29"/>
    <n v="86021.759999999995"/>
    <n v="163921.22999999899"/>
  </r>
  <r>
    <x v="416"/>
    <n v="31"/>
    <n v="77547.520000000004"/>
    <n v="32"/>
    <n v="86349.98"/>
    <n v="163897.5"/>
  </r>
  <r>
    <x v="417"/>
    <n v="30"/>
    <n v="78968.78"/>
    <n v="30"/>
    <n v="84906.14"/>
    <n v="163874.91999999899"/>
  </r>
  <r>
    <x v="418"/>
    <n v="34"/>
    <n v="84639.679999999993"/>
    <n v="30"/>
    <n v="79185.47"/>
    <n v="163825.15"/>
  </r>
  <r>
    <x v="419"/>
    <n v="28"/>
    <n v="81631.61"/>
    <n v="33"/>
    <n v="82166.98"/>
    <n v="163798.59"/>
  </r>
  <r>
    <x v="420"/>
    <n v="35"/>
    <n v="83714.429999999993"/>
    <n v="32"/>
    <n v="80025.53"/>
    <n v="163739.96"/>
  </r>
  <r>
    <x v="421"/>
    <n v="31"/>
    <n v="84995.99"/>
    <n v="30"/>
    <n v="78698.759999999995"/>
    <n v="163694.75"/>
  </r>
  <r>
    <x v="422"/>
    <n v="33"/>
    <n v="97004.95"/>
    <n v="31"/>
    <n v="66661.86"/>
    <n v="163666.81"/>
  </r>
  <r>
    <x v="423"/>
    <n v="29"/>
    <n v="89780.67"/>
    <n v="33"/>
    <n v="73704.039999999994"/>
    <n v="163484.71"/>
  </r>
  <r>
    <x v="424"/>
    <n v="35"/>
    <n v="91938.52"/>
    <n v="26"/>
    <n v="71458.73"/>
    <n v="163397.25"/>
  </r>
  <r>
    <x v="425"/>
    <n v="25"/>
    <n v="68668.25"/>
    <n v="35"/>
    <n v="94696.04"/>
    <n v="163364.28999999899"/>
  </r>
  <r>
    <x v="426"/>
    <n v="20"/>
    <n v="54240.74"/>
    <n v="43"/>
    <n v="109091.86"/>
    <n v="163332.6"/>
  </r>
  <r>
    <x v="427"/>
    <n v="30"/>
    <n v="77053.94"/>
    <n v="34"/>
    <n v="86219.9"/>
    <n v="163273.84"/>
  </r>
  <r>
    <x v="428"/>
    <n v="29"/>
    <n v="69420.429999999993"/>
    <n v="37"/>
    <n v="93821.77"/>
    <n v="163242.20000000001"/>
  </r>
  <r>
    <x v="429"/>
    <n v="26"/>
    <n v="62734.71"/>
    <n v="36"/>
    <n v="100398.85"/>
    <n v="163133.56"/>
  </r>
  <r>
    <x v="430"/>
    <n v="33"/>
    <n v="71260.03"/>
    <n v="37"/>
    <n v="91817.59"/>
    <n v="163077.62"/>
  </r>
  <r>
    <x v="431"/>
    <n v="31"/>
    <n v="76715.929999999993"/>
    <n v="28"/>
    <n v="86355.6"/>
    <n v="163071.53"/>
  </r>
  <r>
    <x v="432"/>
    <n v="29"/>
    <n v="74082.509999999995"/>
    <n v="34"/>
    <n v="88888.54"/>
    <n v="162971.04999999999"/>
  </r>
  <r>
    <x v="433"/>
    <n v="29"/>
    <n v="77046.710000000006"/>
    <n v="28"/>
    <n v="85584.08"/>
    <n v="162630.79"/>
  </r>
  <r>
    <x v="434"/>
    <n v="29"/>
    <n v="70797.33"/>
    <n v="37"/>
    <n v="91792.29"/>
    <n v="162589.62"/>
  </r>
  <r>
    <x v="435"/>
    <n v="28"/>
    <n v="73686.44"/>
    <n v="32"/>
    <n v="88890.99"/>
    <n v="162577.43"/>
  </r>
  <r>
    <x v="436"/>
    <n v="31"/>
    <n v="83437.460000000006"/>
    <n v="28"/>
    <n v="79129.78"/>
    <n v="162567.24"/>
  </r>
  <r>
    <x v="437"/>
    <n v="37"/>
    <n v="100767.56"/>
    <n v="27"/>
    <n v="61746.87"/>
    <n v="162514.43"/>
  </r>
  <r>
    <x v="438"/>
    <n v="25"/>
    <n v="67203.89"/>
    <n v="36"/>
    <n v="95228.57"/>
    <n v="162432.46"/>
  </r>
  <r>
    <x v="439"/>
    <n v="32"/>
    <n v="83227.72"/>
    <n v="29"/>
    <n v="79176.06"/>
    <n v="162403.78"/>
  </r>
  <r>
    <x v="440"/>
    <n v="22"/>
    <n v="66073.119999999995"/>
    <n v="36"/>
    <n v="96330.4"/>
    <n v="162403.51999999999"/>
  </r>
  <r>
    <x v="441"/>
    <n v="31"/>
    <n v="82965.89"/>
    <n v="33"/>
    <n v="79433.17"/>
    <n v="162399.06"/>
  </r>
  <r>
    <x v="442"/>
    <n v="29"/>
    <n v="65611.360000000001"/>
    <n v="36"/>
    <n v="96747.46"/>
    <n v="162358.82"/>
  </r>
  <r>
    <x v="443"/>
    <n v="27"/>
    <n v="75561.88"/>
    <n v="34"/>
    <n v="86739.45"/>
    <n v="162301.32999999999"/>
  </r>
  <r>
    <x v="444"/>
    <n v="35"/>
    <n v="96495.82"/>
    <n v="27"/>
    <n v="65723.289999999994"/>
    <n v="162219.10999999999"/>
  </r>
  <r>
    <x v="445"/>
    <n v="32"/>
    <n v="77103.38"/>
    <n v="31"/>
    <n v="85099.72"/>
    <n v="162203.1"/>
  </r>
  <r>
    <x v="446"/>
    <n v="37"/>
    <n v="76823.240000000005"/>
    <n v="32"/>
    <n v="85334.56"/>
    <n v="162157.79999999999"/>
  </r>
  <r>
    <x v="447"/>
    <n v="37"/>
    <n v="84734.96"/>
    <n v="33"/>
    <n v="77398.28"/>
    <n v="162133.24"/>
  </r>
  <r>
    <x v="448"/>
    <n v="25"/>
    <n v="66652.570000000007"/>
    <n v="38"/>
    <n v="95478.7"/>
    <n v="162131.26999999999"/>
  </r>
  <r>
    <x v="449"/>
    <n v="30"/>
    <n v="71453.440000000002"/>
    <n v="31"/>
    <n v="90672.38"/>
    <n v="162125.82"/>
  </r>
  <r>
    <x v="450"/>
    <n v="29"/>
    <n v="69648.89"/>
    <n v="33"/>
    <n v="92476.4"/>
    <n v="162125.28999999899"/>
  </r>
  <r>
    <x v="451"/>
    <n v="25"/>
    <n v="50357.18"/>
    <n v="41"/>
    <n v="111612.94"/>
    <n v="161970.12"/>
  </r>
  <r>
    <x v="452"/>
    <n v="33"/>
    <n v="83803.289999999994"/>
    <n v="30"/>
    <n v="78162.16"/>
    <n v="161965.45000000001"/>
  </r>
  <r>
    <x v="453"/>
    <n v="24"/>
    <n v="57499.51"/>
    <n v="37"/>
    <n v="104429.11"/>
    <n v="161928.62"/>
  </r>
  <r>
    <x v="454"/>
    <n v="29"/>
    <n v="66391.19"/>
    <n v="39"/>
    <n v="95521.19"/>
    <n v="161912.38"/>
  </r>
  <r>
    <x v="455"/>
    <n v="28"/>
    <n v="65151.95"/>
    <n v="31"/>
    <n v="96692.41"/>
    <n v="161844.35999999999"/>
  </r>
  <r>
    <x v="456"/>
    <n v="33"/>
    <n v="81290.259999999995"/>
    <n v="29"/>
    <n v="80437.33"/>
    <n v="161727.59"/>
  </r>
  <r>
    <x v="457"/>
    <n v="31"/>
    <n v="79973.649999999994"/>
    <n v="30"/>
    <n v="81731.14"/>
    <n v="161704.78999999899"/>
  </r>
  <r>
    <x v="458"/>
    <n v="36"/>
    <n v="90455.27"/>
    <n v="30"/>
    <n v="71190.789999999994"/>
    <n v="161646.06"/>
  </r>
  <r>
    <x v="459"/>
    <n v="34"/>
    <n v="96473.73"/>
    <n v="24"/>
    <n v="65136.480000000003"/>
    <n v="161610.21"/>
  </r>
  <r>
    <x v="460"/>
    <n v="29"/>
    <n v="77134.19"/>
    <n v="37"/>
    <n v="84301.23"/>
    <n v="161435.41999999899"/>
  </r>
  <r>
    <x v="461"/>
    <n v="23"/>
    <n v="66074.58"/>
    <n v="36"/>
    <n v="95355.48"/>
    <n v="161430.06"/>
  </r>
  <r>
    <x v="462"/>
    <n v="38"/>
    <n v="105093.4"/>
    <n v="25"/>
    <n v="56290.63"/>
    <n v="161384.03"/>
  </r>
  <r>
    <x v="463"/>
    <n v="31"/>
    <n v="90147.41"/>
    <n v="28"/>
    <n v="71167.97"/>
    <n v="161315.38"/>
  </r>
  <r>
    <x v="464"/>
    <n v="33"/>
    <n v="82439.240000000005"/>
    <n v="29"/>
    <n v="78844.800000000003"/>
    <n v="161284.04"/>
  </r>
  <r>
    <x v="465"/>
    <n v="32"/>
    <n v="79499.67"/>
    <n v="32"/>
    <n v="81711.94"/>
    <n v="161211.60999999999"/>
  </r>
  <r>
    <x v="466"/>
    <n v="31"/>
    <n v="84215.12"/>
    <n v="28"/>
    <n v="76960.649999999994"/>
    <n v="161175.76999999999"/>
  </r>
  <r>
    <x v="467"/>
    <n v="27"/>
    <n v="49806.75"/>
    <n v="40"/>
    <n v="111354.62"/>
    <n v="161161.37"/>
  </r>
  <r>
    <x v="468"/>
    <n v="26"/>
    <n v="74287.34"/>
    <n v="36"/>
    <n v="86851.4"/>
    <n v="161138.74"/>
  </r>
  <r>
    <x v="469"/>
    <n v="34"/>
    <n v="87804.53"/>
    <n v="29"/>
    <n v="73205.19"/>
    <n v="161009.72"/>
  </r>
  <r>
    <x v="470"/>
    <n v="30"/>
    <n v="65705.72"/>
    <n v="35"/>
    <n v="95262.35"/>
    <n v="160968.07"/>
  </r>
  <r>
    <x v="471"/>
    <n v="28"/>
    <n v="57996.93"/>
    <n v="36"/>
    <n v="102954.87"/>
    <n v="160951.79999999999"/>
  </r>
  <r>
    <x v="472"/>
    <n v="33"/>
    <n v="94291.59"/>
    <n v="25"/>
    <n v="66636.44"/>
    <n v="160928.03"/>
  </r>
  <r>
    <x v="473"/>
    <n v="31"/>
    <n v="80827.69"/>
    <n v="31"/>
    <n v="80082.460000000006"/>
    <n v="160910.15"/>
  </r>
  <r>
    <x v="474"/>
    <n v="31"/>
    <n v="86796.45"/>
    <n v="29"/>
    <n v="74091.539999999994"/>
    <n v="160887.99"/>
  </r>
  <r>
    <x v="475"/>
    <n v="30"/>
    <n v="72164.45"/>
    <n v="36"/>
    <n v="88719.73"/>
    <n v="160884.18"/>
  </r>
  <r>
    <x v="476"/>
    <n v="30"/>
    <n v="77966.36"/>
    <n v="31"/>
    <n v="82911.53"/>
    <n v="160877.89000000001"/>
  </r>
  <r>
    <x v="477"/>
    <n v="32"/>
    <n v="67412.929999999993"/>
    <n v="37"/>
    <n v="93459.4"/>
    <n v="160872.32999999999"/>
  </r>
  <r>
    <x v="478"/>
    <n v="24"/>
    <n v="65777.89"/>
    <n v="37"/>
    <n v="95060.21"/>
    <n v="160838.1"/>
  </r>
  <r>
    <x v="479"/>
    <n v="25"/>
    <n v="68938.77"/>
    <n v="40"/>
    <n v="91894.99"/>
    <n v="160833.76"/>
  </r>
  <r>
    <x v="480"/>
    <n v="37"/>
    <n v="88251.67"/>
    <n v="28"/>
    <n v="72572.03"/>
    <n v="160823.70000000001"/>
  </r>
  <r>
    <x v="481"/>
    <n v="34"/>
    <n v="72383.77"/>
    <n v="36"/>
    <n v="88345.85"/>
    <n v="160729.62"/>
  </r>
  <r>
    <x v="482"/>
    <n v="29"/>
    <n v="77530.850000000006"/>
    <n v="32"/>
    <n v="83190.509999999995"/>
    <n v="160721.35999999999"/>
  </r>
  <r>
    <x v="483"/>
    <n v="34"/>
    <n v="77886.55"/>
    <n v="34"/>
    <n v="82782.899999999994"/>
    <n v="160669.45000000001"/>
  </r>
  <r>
    <x v="484"/>
    <n v="33"/>
    <n v="84424"/>
    <n v="33"/>
    <n v="76228.479999999996"/>
    <n v="160652.47999999899"/>
  </r>
  <r>
    <x v="485"/>
    <n v="29"/>
    <n v="77650.149999999994"/>
    <n v="31"/>
    <n v="83002.02"/>
    <n v="160652.16999999899"/>
  </r>
  <r>
    <x v="486"/>
    <n v="32"/>
    <n v="78037.23"/>
    <n v="35"/>
    <n v="82535.47"/>
    <n v="160572.70000000001"/>
  </r>
  <r>
    <x v="487"/>
    <n v="36"/>
    <n v="82795.66"/>
    <n v="31"/>
    <n v="77694.399999999994"/>
    <n v="160490.06"/>
  </r>
  <r>
    <x v="488"/>
    <n v="36"/>
    <n v="82337.81"/>
    <n v="34"/>
    <n v="78149.919999999998"/>
    <n v="160487.72999999899"/>
  </r>
  <r>
    <x v="489"/>
    <n v="37"/>
    <n v="83746.5"/>
    <n v="33"/>
    <n v="76701.36"/>
    <n v="160447.85999999999"/>
  </r>
  <r>
    <x v="490"/>
    <n v="32"/>
    <n v="96269.64"/>
    <n v="24"/>
    <n v="64169.85"/>
    <n v="160439.49"/>
  </r>
  <r>
    <x v="491"/>
    <n v="25"/>
    <n v="58957.63"/>
    <n v="38"/>
    <n v="101402.08"/>
    <n v="160359.71"/>
  </r>
  <r>
    <x v="492"/>
    <n v="36"/>
    <n v="86334.33"/>
    <n v="28"/>
    <n v="74003.649999999994"/>
    <n v="160337.97999999899"/>
  </r>
  <r>
    <x v="493"/>
    <n v="33"/>
    <n v="91883.07"/>
    <n v="29"/>
    <n v="68381.98"/>
    <n v="160265.04999999999"/>
  </r>
  <r>
    <x v="494"/>
    <n v="30"/>
    <n v="86125.119999999995"/>
    <n v="27"/>
    <n v="74129.94"/>
    <n v="160255.06"/>
  </r>
  <r>
    <x v="495"/>
    <n v="39"/>
    <n v="95501.119999999995"/>
    <n v="32"/>
    <n v="64749.55"/>
    <n v="160250.66999999899"/>
  </r>
  <r>
    <x v="496"/>
    <n v="33"/>
    <n v="81728.460000000006"/>
    <n v="29"/>
    <n v="78397.289999999994"/>
    <n v="160125.75"/>
  </r>
  <r>
    <x v="497"/>
    <n v="31"/>
    <n v="82915.240000000005"/>
    <n v="31"/>
    <n v="77154.11"/>
    <n v="160069.35"/>
  </r>
  <r>
    <x v="498"/>
    <n v="37"/>
    <n v="83490.259999999995"/>
    <n v="32"/>
    <n v="76568.03"/>
    <n v="160058.28999999899"/>
  </r>
  <r>
    <x v="499"/>
    <n v="32"/>
    <n v="87795.839999999997"/>
    <n v="27"/>
    <n v="72201.210000000006"/>
    <n v="159997.04999999999"/>
  </r>
  <r>
    <x v="500"/>
    <n v="36"/>
    <n v="85573.86"/>
    <n v="30"/>
    <n v="74372.160000000003"/>
    <n v="159946.01999999999"/>
  </r>
  <r>
    <x v="501"/>
    <n v="32"/>
    <n v="89139.5"/>
    <n v="27"/>
    <n v="70695.460000000006"/>
    <n v="159834.96"/>
  </r>
  <r>
    <x v="502"/>
    <n v="29"/>
    <n v="68753.600000000006"/>
    <n v="36"/>
    <n v="91049.3"/>
    <n v="159802.9"/>
  </r>
  <r>
    <x v="503"/>
    <n v="33"/>
    <n v="81325.509999999995"/>
    <n v="32"/>
    <n v="78406.42"/>
    <n v="159731.93"/>
  </r>
  <r>
    <x v="504"/>
    <n v="26"/>
    <n v="65923.5"/>
    <n v="33"/>
    <n v="93747.7"/>
    <n v="159671.20000000001"/>
  </r>
  <r>
    <x v="505"/>
    <n v="39"/>
    <n v="99950.53"/>
    <n v="27"/>
    <n v="59675.61"/>
    <n v="159626.14000000001"/>
  </r>
  <r>
    <x v="506"/>
    <n v="32"/>
    <n v="91187.3"/>
    <n v="27"/>
    <n v="68425.53"/>
    <n v="159612.82999999999"/>
  </r>
  <r>
    <x v="507"/>
    <n v="32"/>
    <n v="83670.820000000007"/>
    <n v="32"/>
    <n v="75877.539999999994"/>
    <n v="159548.35999999999"/>
  </r>
  <r>
    <x v="508"/>
    <n v="30"/>
    <n v="68586.559999999998"/>
    <n v="31"/>
    <n v="90932.99"/>
    <n v="159519.54999999999"/>
  </r>
  <r>
    <x v="509"/>
    <n v="27"/>
    <n v="70670.83"/>
    <n v="37"/>
    <n v="88831.73"/>
    <n v="159502.56"/>
  </r>
  <r>
    <x v="510"/>
    <n v="35"/>
    <n v="68510.03"/>
    <n v="32"/>
    <n v="90976.78"/>
    <n v="159486.81"/>
  </r>
  <r>
    <x v="511"/>
    <n v="29"/>
    <n v="69985.88"/>
    <n v="37"/>
    <n v="89487.83"/>
    <n v="159473.71"/>
  </r>
  <r>
    <x v="512"/>
    <n v="37"/>
    <n v="115050.95"/>
    <n v="19"/>
    <n v="44326.89"/>
    <n v="159377.84"/>
  </r>
  <r>
    <x v="513"/>
    <n v="42"/>
    <n v="101630.06"/>
    <n v="19"/>
    <n v="57723.68"/>
    <n v="159353.74"/>
  </r>
  <r>
    <x v="514"/>
    <n v="35"/>
    <n v="91920.07"/>
    <n v="25"/>
    <n v="67412.350000000006"/>
    <n v="159332.42000000001"/>
  </r>
  <r>
    <x v="515"/>
    <n v="29"/>
    <n v="59368.57"/>
    <n v="42"/>
    <n v="99893.58"/>
    <n v="159262.15"/>
  </r>
  <r>
    <x v="516"/>
    <n v="22"/>
    <n v="54620.9"/>
    <n v="42"/>
    <n v="104565.98"/>
    <n v="159186.88"/>
  </r>
  <r>
    <x v="517"/>
    <n v="40"/>
    <n v="100977.83"/>
    <n v="25"/>
    <n v="58207"/>
    <n v="159184.82999999999"/>
  </r>
  <r>
    <x v="518"/>
    <n v="25"/>
    <n v="66567.06"/>
    <n v="34"/>
    <n v="92593.68"/>
    <n v="159160.74"/>
  </r>
  <r>
    <x v="519"/>
    <n v="28"/>
    <n v="66214.59"/>
    <n v="34"/>
    <n v="92879.87"/>
    <n v="159094.46"/>
  </r>
  <r>
    <x v="520"/>
    <n v="33"/>
    <n v="84366.52"/>
    <n v="27"/>
    <n v="74637.929999999993"/>
    <n v="159004.45000000001"/>
  </r>
  <r>
    <x v="521"/>
    <n v="29"/>
    <n v="73115.820000000007"/>
    <n v="30"/>
    <n v="85880.74"/>
    <n v="158996.56"/>
  </r>
  <r>
    <x v="522"/>
    <n v="28"/>
    <n v="74912.22"/>
    <n v="34"/>
    <n v="84080.69"/>
    <n v="158992.91"/>
  </r>
  <r>
    <x v="523"/>
    <n v="34"/>
    <n v="91655.57"/>
    <n v="28"/>
    <n v="67236.78"/>
    <n v="158892.35"/>
  </r>
  <r>
    <x v="524"/>
    <n v="30"/>
    <n v="72426.17"/>
    <n v="31"/>
    <n v="86424.320000000007"/>
    <n v="158850.49"/>
  </r>
  <r>
    <x v="525"/>
    <n v="28"/>
    <n v="73072.52"/>
    <n v="35"/>
    <n v="85773.91"/>
    <n v="158846.43"/>
  </r>
  <r>
    <x v="526"/>
    <n v="19"/>
    <n v="41898.97"/>
    <n v="40"/>
    <n v="116932.84"/>
    <n v="158831.81"/>
  </r>
  <r>
    <x v="527"/>
    <n v="31"/>
    <n v="84436.08"/>
    <n v="29"/>
    <n v="74391.77"/>
    <n v="158827.85"/>
  </r>
  <r>
    <x v="528"/>
    <n v="35"/>
    <n v="91110.33"/>
    <n v="32"/>
    <n v="67689.990000000005"/>
    <n v="158800.32000000001"/>
  </r>
  <r>
    <x v="529"/>
    <n v="35"/>
    <n v="93982.56"/>
    <n v="26"/>
    <n v="64811.15"/>
    <n v="158793.71"/>
  </r>
  <r>
    <x v="530"/>
    <n v="32"/>
    <n v="76953.7"/>
    <n v="30"/>
    <n v="81806.39"/>
    <n v="158760.09"/>
  </r>
  <r>
    <x v="531"/>
    <n v="27"/>
    <n v="68773.119999999995"/>
    <n v="36"/>
    <n v="89955.06"/>
    <n v="158728.18"/>
  </r>
  <r>
    <x v="532"/>
    <n v="22"/>
    <n v="53214.2"/>
    <n v="37"/>
    <n v="105448.34"/>
    <n v="158662.53999999899"/>
  </r>
  <r>
    <x v="533"/>
    <n v="30"/>
    <n v="85633.31"/>
    <n v="25"/>
    <n v="72911.600000000006"/>
    <n v="158544.91"/>
  </r>
  <r>
    <x v="534"/>
    <n v="34"/>
    <n v="76982.13"/>
    <n v="33"/>
    <n v="81538.320000000007"/>
    <n v="158520.45000000001"/>
  </r>
  <r>
    <x v="535"/>
    <n v="28"/>
    <n v="75480.2"/>
    <n v="29"/>
    <n v="83011.05"/>
    <n v="158491.25"/>
  </r>
  <r>
    <x v="536"/>
    <n v="33"/>
    <n v="87612.14"/>
    <n v="29"/>
    <n v="70868.14"/>
    <n v="158480.28"/>
  </r>
  <r>
    <x v="537"/>
    <n v="33"/>
    <n v="83560.53"/>
    <n v="28"/>
    <n v="74919.5"/>
    <n v="158480.03"/>
  </r>
  <r>
    <x v="538"/>
    <n v="39"/>
    <n v="99418.26"/>
    <n v="29"/>
    <n v="58842.21"/>
    <n v="158260.47"/>
  </r>
  <r>
    <x v="539"/>
    <n v="33"/>
    <n v="102716.59"/>
    <n v="22"/>
    <n v="55537.07"/>
    <n v="158253.66"/>
  </r>
  <r>
    <x v="540"/>
    <n v="40"/>
    <n v="84866.28"/>
    <n v="27"/>
    <n v="73341.47"/>
    <n v="158207.75"/>
  </r>
  <r>
    <x v="541"/>
    <n v="36"/>
    <n v="81668.039999999994"/>
    <n v="30"/>
    <n v="76474.2"/>
    <n v="158142.24"/>
  </r>
  <r>
    <x v="542"/>
    <n v="27"/>
    <n v="78933.38"/>
    <n v="34"/>
    <n v="79157.67"/>
    <n v="158091.04999999999"/>
  </r>
  <r>
    <x v="543"/>
    <n v="31"/>
    <n v="88096.61"/>
    <n v="31"/>
    <n v="69971.25"/>
    <n v="158067.85999999999"/>
  </r>
  <r>
    <x v="544"/>
    <n v="33"/>
    <n v="84556.84"/>
    <n v="33"/>
    <n v="73490.539999999994"/>
    <n v="158047.38"/>
  </r>
  <r>
    <x v="545"/>
    <n v="32"/>
    <n v="80087.77"/>
    <n v="33"/>
    <n v="77882.06"/>
    <n v="157969.82999999999"/>
  </r>
  <r>
    <x v="546"/>
    <n v="33"/>
    <n v="87728.22"/>
    <n v="30"/>
    <n v="70234.84"/>
    <n v="157963.06"/>
  </r>
  <r>
    <x v="547"/>
    <n v="36"/>
    <n v="99293.18"/>
    <n v="25"/>
    <n v="58626.9"/>
    <n v="157920.07999999999"/>
  </r>
  <r>
    <x v="548"/>
    <n v="32"/>
    <n v="81225.960000000006"/>
    <n v="32"/>
    <n v="76658.97"/>
    <n v="157884.93"/>
  </r>
  <r>
    <x v="549"/>
    <n v="30"/>
    <n v="75307.08"/>
    <n v="33"/>
    <n v="82504.27"/>
    <n v="157811.35"/>
  </r>
  <r>
    <x v="550"/>
    <n v="38"/>
    <n v="91807.4"/>
    <n v="28"/>
    <n v="65969.19"/>
    <n v="157776.59"/>
  </r>
  <r>
    <x v="551"/>
    <n v="39"/>
    <n v="95325.78"/>
    <n v="27"/>
    <n v="62438.23"/>
    <n v="157764.01"/>
  </r>
  <r>
    <x v="552"/>
    <n v="29"/>
    <n v="68647.210000000006"/>
    <n v="34"/>
    <n v="89053.53"/>
    <n v="157700.74"/>
  </r>
  <r>
    <x v="553"/>
    <n v="31"/>
    <n v="68359.649999999994"/>
    <n v="35"/>
    <n v="89331.89"/>
    <n v="157691.53999999899"/>
  </r>
  <r>
    <x v="554"/>
    <n v="36"/>
    <n v="86743.83"/>
    <n v="27"/>
    <n v="70855.11"/>
    <n v="157598.94"/>
  </r>
  <r>
    <x v="555"/>
    <n v="26"/>
    <n v="64078.37"/>
    <n v="41"/>
    <n v="93508.81"/>
    <n v="157587.18"/>
  </r>
  <r>
    <x v="556"/>
    <n v="32"/>
    <n v="98297.88"/>
    <n v="28"/>
    <n v="59210.37"/>
    <n v="157508.25"/>
  </r>
  <r>
    <x v="557"/>
    <n v="31"/>
    <n v="74124.56"/>
    <n v="32"/>
    <n v="83333.48"/>
    <n v="157458.03999999899"/>
  </r>
  <r>
    <x v="558"/>
    <n v="33"/>
    <n v="87324.32"/>
    <n v="33"/>
    <n v="70100.08"/>
    <n v="157424.4"/>
  </r>
  <r>
    <x v="559"/>
    <n v="33"/>
    <n v="85010.52"/>
    <n v="33"/>
    <n v="72394.350000000006"/>
    <n v="157404.87"/>
  </r>
  <r>
    <x v="560"/>
    <n v="32"/>
    <n v="100198.25"/>
    <n v="23"/>
    <n v="57180.800000000003"/>
    <n v="157379.04999999999"/>
  </r>
  <r>
    <x v="561"/>
    <n v="27"/>
    <n v="68154.960000000006"/>
    <n v="35"/>
    <n v="89200.53"/>
    <n v="157355.49"/>
  </r>
  <r>
    <x v="562"/>
    <n v="34"/>
    <n v="81307.78"/>
    <n v="26"/>
    <n v="76043.460000000006"/>
    <n v="157351.24"/>
  </r>
  <r>
    <x v="563"/>
    <n v="35"/>
    <n v="87430.97"/>
    <n v="28"/>
    <n v="69907.789999999994"/>
    <n v="157338.76"/>
  </r>
  <r>
    <x v="564"/>
    <n v="32"/>
    <n v="85651.8"/>
    <n v="28"/>
    <n v="71685.72"/>
    <n v="157337.51999999999"/>
  </r>
  <r>
    <x v="565"/>
    <n v="25"/>
    <n v="57006.53"/>
    <n v="41"/>
    <n v="100304.79"/>
    <n v="157311.32"/>
  </r>
  <r>
    <x v="566"/>
    <n v="26"/>
    <n v="70311.820000000007"/>
    <n v="34"/>
    <n v="86991.43"/>
    <n v="157303.25"/>
  </r>
  <r>
    <x v="567"/>
    <n v="27"/>
    <n v="58321.49"/>
    <n v="36"/>
    <n v="98951.63"/>
    <n v="157273.12"/>
  </r>
  <r>
    <x v="568"/>
    <n v="27"/>
    <n v="75208.11"/>
    <n v="35"/>
    <n v="82048.44"/>
    <n v="157256.54999999999"/>
  </r>
  <r>
    <x v="569"/>
    <n v="33"/>
    <n v="86128.98"/>
    <n v="30"/>
    <n v="71125.8"/>
    <n v="157254.78"/>
  </r>
  <r>
    <x v="570"/>
    <n v="25"/>
    <n v="60055"/>
    <n v="38"/>
    <n v="97167.4"/>
    <n v="157222.39999999999"/>
  </r>
  <r>
    <x v="571"/>
    <n v="26"/>
    <n v="61735.75"/>
    <n v="30"/>
    <n v="95465.54"/>
    <n v="157201.28999999899"/>
  </r>
  <r>
    <x v="572"/>
    <n v="33"/>
    <n v="80156.460000000006"/>
    <n v="30"/>
    <n v="76974.8"/>
    <n v="157131.26"/>
  </r>
  <r>
    <x v="573"/>
    <n v="27"/>
    <n v="66686.19"/>
    <n v="38"/>
    <n v="90426.17"/>
    <n v="157112.35999999999"/>
  </r>
  <r>
    <x v="574"/>
    <n v="31"/>
    <n v="80653.210000000006"/>
    <n v="33"/>
    <n v="76411.25"/>
    <n v="157064.46"/>
  </r>
  <r>
    <x v="575"/>
    <n v="34"/>
    <n v="96287.27"/>
    <n v="22"/>
    <n v="60776.12"/>
    <n v="157063.39000000001"/>
  </r>
  <r>
    <x v="576"/>
    <n v="26"/>
    <n v="69138.25"/>
    <n v="31"/>
    <n v="87892.85"/>
    <n v="157031.1"/>
  </r>
  <r>
    <x v="577"/>
    <n v="31"/>
    <n v="82396.39"/>
    <n v="27"/>
    <n v="74620.7"/>
    <n v="157017.09"/>
  </r>
  <r>
    <x v="578"/>
    <n v="27"/>
    <n v="73869.649999999994"/>
    <n v="33"/>
    <n v="83084.41"/>
    <n v="156954.06"/>
  </r>
  <r>
    <x v="579"/>
    <n v="22"/>
    <n v="59029.53"/>
    <n v="37"/>
    <n v="97916.37"/>
    <n v="156945.9"/>
  </r>
  <r>
    <x v="580"/>
    <n v="33"/>
    <n v="90518.39"/>
    <n v="31"/>
    <n v="66325.75"/>
    <n v="156844.14000000001"/>
  </r>
  <r>
    <x v="581"/>
    <n v="27"/>
    <n v="82319.66"/>
    <n v="33"/>
    <n v="74419.97"/>
    <n v="156739.63"/>
  </r>
  <r>
    <x v="582"/>
    <n v="45"/>
    <n v="107586.28"/>
    <n v="22"/>
    <n v="49085.29"/>
    <n v="156671.57"/>
  </r>
  <r>
    <x v="583"/>
    <n v="35"/>
    <n v="92264.55"/>
    <n v="28"/>
    <n v="64359.78"/>
    <n v="156624.32999999999"/>
  </r>
  <r>
    <x v="584"/>
    <n v="31"/>
    <n v="77950.34"/>
    <n v="28"/>
    <n v="78623.570000000007"/>
    <n v="156573.91"/>
  </r>
  <r>
    <x v="585"/>
    <n v="27"/>
    <n v="60921.42"/>
    <n v="33"/>
    <n v="95619.199999999997"/>
    <n v="156540.62"/>
  </r>
  <r>
    <x v="586"/>
    <n v="33"/>
    <n v="82519.06"/>
    <n v="29"/>
    <n v="73985.929999999993"/>
    <n v="156504.99"/>
  </r>
  <r>
    <x v="587"/>
    <n v="30"/>
    <n v="90655.3"/>
    <n v="25"/>
    <n v="65783.320000000007"/>
    <n v="156438.62"/>
  </r>
  <r>
    <x v="588"/>
    <n v="25"/>
    <n v="55232.24"/>
    <n v="33"/>
    <n v="101195.36"/>
    <n v="156427.6"/>
  </r>
  <r>
    <x v="589"/>
    <n v="38"/>
    <n v="98279.66"/>
    <n v="23"/>
    <n v="58129.19"/>
    <n v="156408.85"/>
  </r>
  <r>
    <x v="590"/>
    <n v="27"/>
    <n v="71020.289999999994"/>
    <n v="32"/>
    <n v="85372.09"/>
    <n v="156392.38"/>
  </r>
  <r>
    <x v="591"/>
    <n v="34"/>
    <n v="85017.73"/>
    <n v="27"/>
    <n v="71353.490000000005"/>
    <n v="156371.22"/>
  </r>
  <r>
    <x v="592"/>
    <n v="33"/>
    <n v="81407.509999999995"/>
    <n v="26"/>
    <n v="74962.720000000001"/>
    <n v="156370.22999999899"/>
  </r>
  <r>
    <x v="593"/>
    <n v="32"/>
    <n v="82718.63"/>
    <n v="31"/>
    <n v="73639.83"/>
    <n v="156358.46"/>
  </r>
  <r>
    <x v="594"/>
    <n v="23"/>
    <n v="64612.21"/>
    <n v="38"/>
    <n v="91733.43"/>
    <n v="156345.639999999"/>
  </r>
  <r>
    <x v="595"/>
    <n v="23"/>
    <n v="62810.7"/>
    <n v="32"/>
    <n v="93443.02"/>
    <n v="156253.72"/>
  </r>
  <r>
    <x v="596"/>
    <n v="29"/>
    <n v="81378.22"/>
    <n v="27"/>
    <n v="74852"/>
    <n v="156230.22"/>
  </r>
  <r>
    <x v="597"/>
    <n v="27"/>
    <n v="72042.44"/>
    <n v="31"/>
    <n v="84078.82"/>
    <n v="156121.26"/>
  </r>
  <r>
    <x v="598"/>
    <n v="33"/>
    <n v="87117.68"/>
    <n v="29"/>
    <n v="68995.7"/>
    <n v="156113.38"/>
  </r>
  <r>
    <x v="599"/>
    <n v="22"/>
    <n v="58458.34"/>
    <n v="36"/>
    <n v="97639.22"/>
    <n v="156097.56"/>
  </r>
  <r>
    <x v="600"/>
    <n v="25"/>
    <n v="52882.52"/>
    <n v="35"/>
    <n v="103189.8"/>
    <n v="156072.32000000001"/>
  </r>
  <r>
    <x v="601"/>
    <n v="38"/>
    <n v="84018.86"/>
    <n v="30"/>
    <n v="72006.3"/>
    <n v="156025.16"/>
  </r>
  <r>
    <x v="602"/>
    <n v="25"/>
    <n v="67634.009999999995"/>
    <n v="36"/>
    <n v="88375.69"/>
    <n v="156009.70000000001"/>
  </r>
  <r>
    <x v="603"/>
    <n v="24"/>
    <n v="61996.52"/>
    <n v="36"/>
    <n v="94007.7"/>
    <n v="156004.22"/>
  </r>
  <r>
    <x v="604"/>
    <n v="25"/>
    <n v="64653.23"/>
    <n v="40"/>
    <n v="91343.76"/>
    <n v="155996.99"/>
  </r>
  <r>
    <x v="605"/>
    <n v="28"/>
    <n v="67940.44"/>
    <n v="35"/>
    <n v="87965.58"/>
    <n v="155906.01999999999"/>
  </r>
  <r>
    <x v="606"/>
    <n v="26"/>
    <n v="74819.56"/>
    <n v="30"/>
    <n v="81085.009999999995"/>
    <n v="155904.57"/>
  </r>
  <r>
    <x v="607"/>
    <n v="31"/>
    <n v="85233.76"/>
    <n v="25"/>
    <n v="70663.570000000007"/>
    <n v="155897.32999999999"/>
  </r>
  <r>
    <x v="608"/>
    <n v="29"/>
    <n v="87123.66"/>
    <n v="24"/>
    <n v="68744.45"/>
    <n v="155868.10999999999"/>
  </r>
  <r>
    <x v="609"/>
    <n v="32"/>
    <n v="86548.01"/>
    <n v="27"/>
    <n v="69267.64"/>
    <n v="155815.65"/>
  </r>
  <r>
    <x v="610"/>
    <n v="32"/>
    <n v="87515.51"/>
    <n v="27"/>
    <n v="68296.800000000003"/>
    <n v="155812.31"/>
  </r>
  <r>
    <x v="611"/>
    <n v="36"/>
    <n v="79401.88"/>
    <n v="33"/>
    <n v="76374.83"/>
    <n v="155776.71"/>
  </r>
  <r>
    <x v="612"/>
    <n v="36"/>
    <n v="81501.56"/>
    <n v="31"/>
    <n v="74241.7"/>
    <n v="155743.26"/>
  </r>
  <r>
    <x v="613"/>
    <n v="33"/>
    <n v="75659.03"/>
    <n v="30"/>
    <n v="80058.16"/>
    <n v="155717.19"/>
  </r>
  <r>
    <x v="614"/>
    <n v="33"/>
    <n v="75065.039999999994"/>
    <n v="29"/>
    <n v="80623.64"/>
    <n v="155688.68"/>
  </r>
  <r>
    <x v="615"/>
    <n v="31"/>
    <n v="81700.850000000006"/>
    <n v="29"/>
    <n v="73985.14"/>
    <n v="155685.99"/>
  </r>
  <r>
    <x v="616"/>
    <n v="33"/>
    <n v="80151.399999999994"/>
    <n v="33"/>
    <n v="75520.17"/>
    <n v="155671.57"/>
  </r>
  <r>
    <x v="617"/>
    <n v="30"/>
    <n v="73175.929999999993"/>
    <n v="30"/>
    <n v="82492.59"/>
    <n v="155668.51999999999"/>
  </r>
  <r>
    <x v="618"/>
    <n v="36"/>
    <n v="79989.08"/>
    <n v="30"/>
    <n v="75672.210000000006"/>
    <n v="155661.29"/>
  </r>
  <r>
    <x v="619"/>
    <n v="19"/>
    <n v="37634.870000000003"/>
    <n v="42"/>
    <n v="118024.58"/>
    <n v="155659.45000000001"/>
  </r>
  <r>
    <x v="620"/>
    <n v="34"/>
    <n v="84191.53"/>
    <n v="27"/>
    <n v="71456.66"/>
    <n v="155648.19"/>
  </r>
  <r>
    <x v="621"/>
    <n v="25"/>
    <n v="69555.259999999995"/>
    <n v="36"/>
    <n v="86059.520000000004"/>
    <n v="155614.78"/>
  </r>
  <r>
    <x v="622"/>
    <n v="31"/>
    <n v="84837.5"/>
    <n v="31"/>
    <n v="70757.009999999995"/>
    <n v="155594.51"/>
  </r>
  <r>
    <x v="623"/>
    <n v="32"/>
    <n v="75696.73"/>
    <n v="27"/>
    <n v="79894.83"/>
    <n v="155591.56"/>
  </r>
  <r>
    <x v="624"/>
    <n v="27"/>
    <n v="72354.98"/>
    <n v="35"/>
    <n v="83233.570000000007"/>
    <n v="155588.54999999999"/>
  </r>
  <r>
    <x v="625"/>
    <n v="19"/>
    <n v="51988.04"/>
    <n v="43"/>
    <n v="103593.54"/>
    <n v="155581.57999999999"/>
  </r>
  <r>
    <x v="626"/>
    <n v="36"/>
    <n v="91635.45"/>
    <n v="32"/>
    <n v="63908.25"/>
    <n v="155543.70000000001"/>
  </r>
  <r>
    <x v="627"/>
    <n v="35"/>
    <n v="86507.71"/>
    <n v="23"/>
    <n v="68998.53"/>
    <n v="155506.23999999999"/>
  </r>
  <r>
    <x v="628"/>
    <n v="31"/>
    <n v="86345.57"/>
    <n v="34"/>
    <n v="68974.09"/>
    <n v="155319.66"/>
  </r>
  <r>
    <x v="629"/>
    <n v="39"/>
    <n v="96835.7"/>
    <n v="29"/>
    <n v="58467.06"/>
    <n v="155302.76"/>
  </r>
  <r>
    <x v="630"/>
    <n v="31"/>
    <n v="78690.05"/>
    <n v="35"/>
    <n v="76607.899999999994"/>
    <n v="155297.95000000001"/>
  </r>
  <r>
    <x v="631"/>
    <n v="28"/>
    <n v="81088.100000000006"/>
    <n v="27"/>
    <n v="74077.89"/>
    <n v="155165.99"/>
  </r>
  <r>
    <x v="632"/>
    <n v="33"/>
    <n v="87808.79"/>
    <n v="28"/>
    <n v="67302.05"/>
    <n v="155110.84"/>
  </r>
  <r>
    <x v="633"/>
    <n v="27"/>
    <n v="66614.59"/>
    <n v="36"/>
    <n v="88452.13"/>
    <n v="155066.72"/>
  </r>
  <r>
    <x v="634"/>
    <n v="39"/>
    <n v="92841.919999999998"/>
    <n v="24"/>
    <n v="62173.82"/>
    <n v="155015.74"/>
  </r>
  <r>
    <x v="635"/>
    <n v="30"/>
    <n v="77983.070000000007"/>
    <n v="28"/>
    <n v="77025.17"/>
    <n v="155008.24"/>
  </r>
  <r>
    <x v="636"/>
    <n v="27"/>
    <n v="68855.25"/>
    <n v="38"/>
    <n v="86023.7"/>
    <n v="154878.95000000001"/>
  </r>
  <r>
    <x v="637"/>
    <n v="28"/>
    <n v="66451.520000000004"/>
    <n v="31"/>
    <n v="88376.98"/>
    <n v="154828.5"/>
  </r>
  <r>
    <x v="638"/>
    <n v="28"/>
    <n v="72116.13"/>
    <n v="31"/>
    <n v="82679.5"/>
    <n v="154795.63"/>
  </r>
  <r>
    <x v="639"/>
    <n v="31"/>
    <n v="85827.06"/>
    <n v="29"/>
    <n v="68953.63"/>
    <n v="154780.69"/>
  </r>
  <r>
    <x v="640"/>
    <n v="29"/>
    <n v="77029.97"/>
    <n v="38"/>
    <n v="77740.429999999993"/>
    <n v="154770.4"/>
  </r>
  <r>
    <x v="641"/>
    <n v="39"/>
    <n v="78611.83"/>
    <n v="29"/>
    <n v="76090.710000000006"/>
    <n v="154702.54"/>
  </r>
  <r>
    <x v="642"/>
    <n v="29"/>
    <n v="76206.03"/>
    <n v="27"/>
    <n v="78469.399999999994"/>
    <n v="154675.43"/>
  </r>
  <r>
    <x v="643"/>
    <n v="38"/>
    <n v="90010.32"/>
    <n v="23"/>
    <n v="64627.03"/>
    <n v="154637.35"/>
  </r>
  <r>
    <x v="644"/>
    <n v="33"/>
    <n v="99142.76"/>
    <n v="26"/>
    <n v="55482.46"/>
    <n v="154625.22"/>
  </r>
  <r>
    <x v="645"/>
    <n v="32"/>
    <n v="89949.8"/>
    <n v="29"/>
    <n v="64651.03"/>
    <n v="154600.82999999999"/>
  </r>
  <r>
    <x v="646"/>
    <n v="27"/>
    <n v="78405.77"/>
    <n v="33"/>
    <n v="76135.98"/>
    <n v="154541.75"/>
  </r>
  <r>
    <x v="647"/>
    <n v="35"/>
    <n v="84206.65"/>
    <n v="27"/>
    <n v="70277.45"/>
    <n v="154484.09999999899"/>
  </r>
  <r>
    <x v="648"/>
    <n v="27"/>
    <n v="68876.87"/>
    <n v="33"/>
    <n v="85602.95"/>
    <n v="154479.82"/>
  </r>
  <r>
    <x v="649"/>
    <n v="33"/>
    <n v="86453.19"/>
    <n v="30"/>
    <n v="68022.720000000001"/>
    <n v="154475.91"/>
  </r>
  <r>
    <x v="650"/>
    <n v="31"/>
    <n v="81441"/>
    <n v="31"/>
    <n v="73027.09"/>
    <n v="154468.09"/>
  </r>
  <r>
    <x v="651"/>
    <n v="28"/>
    <n v="77440.460000000006"/>
    <n v="29"/>
    <n v="77014.34"/>
    <n v="154454.79999999999"/>
  </r>
  <r>
    <x v="652"/>
    <n v="33"/>
    <n v="80966.070000000007"/>
    <n v="34"/>
    <n v="73471.649999999994"/>
    <n v="154437.72"/>
  </r>
  <r>
    <x v="653"/>
    <n v="29"/>
    <n v="57112.2"/>
    <n v="35"/>
    <n v="97229.35"/>
    <n v="154341.54999999999"/>
  </r>
  <r>
    <x v="654"/>
    <n v="31"/>
    <n v="75414.87"/>
    <n v="35"/>
    <n v="78910.77"/>
    <n v="154325.64000000001"/>
  </r>
  <r>
    <x v="655"/>
    <n v="24"/>
    <n v="58914.9"/>
    <n v="39"/>
    <n v="95396.99"/>
    <n v="154311.89000000001"/>
  </r>
  <r>
    <x v="656"/>
    <n v="28"/>
    <n v="67290.61"/>
    <n v="34"/>
    <n v="87011.46"/>
    <n v="154302.07"/>
  </r>
  <r>
    <x v="657"/>
    <n v="19"/>
    <n v="57516.06"/>
    <n v="39"/>
    <n v="96767.01"/>
    <n v="154283.07"/>
  </r>
  <r>
    <x v="658"/>
    <n v="31"/>
    <n v="73691.06"/>
    <n v="32"/>
    <n v="80573.53"/>
    <n v="154264.59"/>
  </r>
  <r>
    <x v="659"/>
    <n v="30"/>
    <n v="84451.15"/>
    <n v="27"/>
    <n v="69801"/>
    <n v="154252.15"/>
  </r>
  <r>
    <x v="660"/>
    <n v="26"/>
    <n v="58676.07"/>
    <n v="37"/>
    <n v="95565.73"/>
    <n v="154241.79999999999"/>
  </r>
  <r>
    <x v="661"/>
    <n v="30"/>
    <n v="75798.19"/>
    <n v="37"/>
    <n v="78438.179999999993"/>
    <n v="154236.37"/>
  </r>
  <r>
    <x v="662"/>
    <n v="36"/>
    <n v="92456.44"/>
    <n v="27"/>
    <n v="61752.62"/>
    <n v="154209.06"/>
  </r>
  <r>
    <x v="663"/>
    <n v="38"/>
    <n v="100894.11"/>
    <n v="21"/>
    <n v="53138.29"/>
    <n v="154032.4"/>
  </r>
  <r>
    <x v="664"/>
    <n v="30"/>
    <n v="74200.479999999996"/>
    <n v="31"/>
    <n v="79828.83"/>
    <n v="154029.31"/>
  </r>
  <r>
    <x v="665"/>
    <n v="38"/>
    <n v="96550.97"/>
    <n v="26"/>
    <n v="57472.45"/>
    <n v="154023.41999999899"/>
  </r>
  <r>
    <x v="666"/>
    <n v="28"/>
    <n v="70462.8"/>
    <n v="32"/>
    <n v="83559.47"/>
    <n v="154022.26999999999"/>
  </r>
  <r>
    <x v="667"/>
    <n v="33"/>
    <n v="100101.79"/>
    <n v="25"/>
    <n v="53908.46"/>
    <n v="154010.25"/>
  </r>
  <r>
    <x v="668"/>
    <n v="31"/>
    <n v="90559"/>
    <n v="28"/>
    <n v="63360.99"/>
    <n v="153919.99"/>
  </r>
  <r>
    <x v="669"/>
    <n v="31"/>
    <n v="82620.850000000006"/>
    <n v="30"/>
    <n v="71296.34"/>
    <n v="153917.19"/>
  </r>
  <r>
    <x v="670"/>
    <n v="31"/>
    <n v="65494.41"/>
    <n v="37"/>
    <n v="88414.26"/>
    <n v="153908.66999999899"/>
  </r>
  <r>
    <x v="671"/>
    <n v="25"/>
    <n v="65265.95"/>
    <n v="31"/>
    <n v="88576.5"/>
    <n v="153842.45000000001"/>
  </r>
  <r>
    <x v="672"/>
    <n v="27"/>
    <n v="56016.32"/>
    <n v="36"/>
    <n v="97751.18"/>
    <n v="153767.5"/>
  </r>
  <r>
    <x v="673"/>
    <n v="33"/>
    <n v="89143.35"/>
    <n v="23"/>
    <n v="64597.84"/>
    <n v="153741.19"/>
  </r>
  <r>
    <x v="674"/>
    <n v="35"/>
    <n v="68588.67"/>
    <n v="34"/>
    <n v="85145.73"/>
    <n v="153734.39999999999"/>
  </r>
  <r>
    <x v="675"/>
    <n v="28"/>
    <n v="57103.68"/>
    <n v="30"/>
    <n v="96623.9"/>
    <n v="153727.57999999999"/>
  </r>
  <r>
    <x v="676"/>
    <n v="36"/>
    <n v="72062.86"/>
    <n v="34"/>
    <n v="81655.570000000007"/>
    <n v="153718.43"/>
  </r>
  <r>
    <x v="677"/>
    <n v="23"/>
    <n v="64226.06"/>
    <n v="35"/>
    <n v="89492.32"/>
    <n v="153718.38"/>
  </r>
  <r>
    <x v="678"/>
    <n v="36"/>
    <n v="85471.17"/>
    <n v="25"/>
    <n v="68107.259999999995"/>
    <n v="153578.43"/>
  </r>
  <r>
    <x v="679"/>
    <n v="29"/>
    <n v="86569.58"/>
    <n v="26"/>
    <n v="66939.97"/>
    <n v="153509.54999999999"/>
  </r>
  <r>
    <x v="680"/>
    <n v="26"/>
    <n v="74499.649999999994"/>
    <n v="26"/>
    <n v="79008.2"/>
    <n v="153507.84999999899"/>
  </r>
  <r>
    <x v="681"/>
    <n v="26"/>
    <n v="59923.519999999997"/>
    <n v="37"/>
    <n v="93558.29"/>
    <n v="153481.81"/>
  </r>
  <r>
    <x v="682"/>
    <n v="37"/>
    <n v="92354.57"/>
    <n v="24"/>
    <n v="61063.11"/>
    <n v="153417.68"/>
  </r>
  <r>
    <x v="683"/>
    <n v="42"/>
    <n v="98191.81"/>
    <n v="23"/>
    <n v="55201.760000000002"/>
    <n v="153393.57"/>
  </r>
  <r>
    <x v="684"/>
    <n v="43"/>
    <n v="102025.36"/>
    <n v="21"/>
    <n v="51301.88"/>
    <n v="153327.24"/>
  </r>
  <r>
    <x v="685"/>
    <n v="20"/>
    <n v="60684.03"/>
    <n v="33"/>
    <n v="92614.75"/>
    <n v="153298.78"/>
  </r>
  <r>
    <x v="686"/>
    <n v="28"/>
    <n v="73184.08"/>
    <n v="32"/>
    <n v="80064.789999999994"/>
    <n v="153248.87"/>
  </r>
  <r>
    <x v="687"/>
    <n v="29"/>
    <n v="70092.259999999995"/>
    <n v="30"/>
    <n v="83106.53"/>
    <n v="153198.78999999899"/>
  </r>
  <r>
    <x v="688"/>
    <n v="32"/>
    <n v="86214.62"/>
    <n v="31"/>
    <n v="66928.91"/>
    <n v="153143.53"/>
  </r>
  <r>
    <x v="689"/>
    <n v="33"/>
    <n v="84620.28"/>
    <n v="28"/>
    <n v="68463.59"/>
    <n v="153083.87"/>
  </r>
  <r>
    <x v="690"/>
    <n v="36"/>
    <n v="79698.45"/>
    <n v="25"/>
    <n v="73276.13"/>
    <n v="152974.57999999999"/>
  </r>
  <r>
    <x v="691"/>
    <n v="31"/>
    <n v="72793.84"/>
    <n v="28"/>
    <n v="79974.53"/>
    <n v="152768.37"/>
  </r>
  <r>
    <x v="692"/>
    <n v="28"/>
    <n v="67566.789999999994"/>
    <n v="34"/>
    <n v="85160.48"/>
    <n v="152727.26999999999"/>
  </r>
  <r>
    <x v="693"/>
    <n v="25"/>
    <n v="64909.7"/>
    <n v="36"/>
    <n v="87786.47"/>
    <n v="152696.16999999899"/>
  </r>
  <r>
    <x v="694"/>
    <n v="34"/>
    <n v="73306.039999999994"/>
    <n v="31"/>
    <n v="79315.399999999994"/>
    <n v="152621.44"/>
  </r>
  <r>
    <x v="695"/>
    <n v="32"/>
    <n v="76722.929999999993"/>
    <n v="29"/>
    <n v="75893.899999999994"/>
    <n v="152616.82999999999"/>
  </r>
  <r>
    <x v="696"/>
    <n v="34"/>
    <n v="87363.71"/>
    <n v="26"/>
    <n v="65252.41"/>
    <n v="152616.12"/>
  </r>
  <r>
    <x v="697"/>
    <n v="33"/>
    <n v="96820.01"/>
    <n v="23"/>
    <n v="55714.48"/>
    <n v="152534.49"/>
  </r>
  <r>
    <x v="698"/>
    <n v="31"/>
    <n v="73757.59"/>
    <n v="36"/>
    <n v="78749.509999999995"/>
    <n v="152507.09999999899"/>
  </r>
  <r>
    <x v="699"/>
    <n v="29"/>
    <n v="66500.31"/>
    <n v="34"/>
    <n v="86003.49"/>
    <n v="152503.79999999999"/>
  </r>
  <r>
    <x v="700"/>
    <n v="37"/>
    <n v="86790.3"/>
    <n v="26"/>
    <n v="65712.3"/>
    <n v="152502.6"/>
  </r>
  <r>
    <x v="701"/>
    <n v="26"/>
    <n v="60785.84"/>
    <n v="34"/>
    <n v="91568.06"/>
    <n v="152353.9"/>
  </r>
  <r>
    <x v="702"/>
    <n v="24"/>
    <n v="55768.49"/>
    <n v="35"/>
    <n v="96535.55"/>
    <n v="152304.04"/>
  </r>
  <r>
    <x v="703"/>
    <n v="31"/>
    <n v="78407.320000000007"/>
    <n v="27"/>
    <n v="73881.100000000006"/>
    <n v="152288.42000000001"/>
  </r>
  <r>
    <x v="704"/>
    <n v="32"/>
    <n v="81348.39"/>
    <n v="24"/>
    <n v="70681.63"/>
    <n v="152030.01999999999"/>
  </r>
  <r>
    <x v="705"/>
    <n v="30"/>
    <n v="70776.63"/>
    <n v="30"/>
    <n v="81203.98"/>
    <n v="151980.60999999999"/>
  </r>
  <r>
    <x v="706"/>
    <n v="22"/>
    <n v="54108.68"/>
    <n v="45"/>
    <n v="97847.37"/>
    <n v="151956.04999999999"/>
  </r>
  <r>
    <x v="707"/>
    <n v="35"/>
    <n v="76357.960000000006"/>
    <n v="34"/>
    <n v="75578.22"/>
    <n v="151936.18"/>
  </r>
  <r>
    <x v="708"/>
    <n v="28"/>
    <n v="77783.460000000006"/>
    <n v="32"/>
    <n v="74129.929999999993"/>
    <n v="151913.39000000001"/>
  </r>
  <r>
    <x v="709"/>
    <n v="27"/>
    <n v="67750.600000000006"/>
    <n v="33"/>
    <n v="84162.61"/>
    <n v="151913.21"/>
  </r>
  <r>
    <x v="710"/>
    <n v="26"/>
    <n v="81370.78"/>
    <n v="25"/>
    <n v="70526.37"/>
    <n v="151897.15"/>
  </r>
  <r>
    <x v="711"/>
    <n v="39"/>
    <n v="88943.82"/>
    <n v="27"/>
    <n v="62941.19"/>
    <n v="151885.01"/>
  </r>
  <r>
    <x v="712"/>
    <n v="30"/>
    <n v="89253.8"/>
    <n v="27"/>
    <n v="62537.43"/>
    <n v="151791.23000000001"/>
  </r>
  <r>
    <x v="713"/>
    <n v="28"/>
    <n v="66771.460000000006"/>
    <n v="33"/>
    <n v="84986.69"/>
    <n v="151758.15"/>
  </r>
  <r>
    <x v="714"/>
    <n v="39"/>
    <n v="81924.36"/>
    <n v="23"/>
    <n v="69832.92"/>
    <n v="151757.28"/>
  </r>
  <r>
    <x v="715"/>
    <n v="34"/>
    <n v="87337.2"/>
    <n v="27"/>
    <n v="64384.57"/>
    <n v="151721.76999999999"/>
  </r>
  <r>
    <x v="716"/>
    <n v="32"/>
    <n v="71193.289999999994"/>
    <n v="31"/>
    <n v="80413.509999999995"/>
    <n v="151606.79999999999"/>
  </r>
  <r>
    <x v="717"/>
    <n v="24"/>
    <n v="78714.94"/>
    <n v="31"/>
    <n v="72876.62"/>
    <n v="151591.56"/>
  </r>
  <r>
    <x v="718"/>
    <n v="27"/>
    <n v="81793.990000000005"/>
    <n v="23"/>
    <n v="69786.13"/>
    <n v="151580.12"/>
  </r>
  <r>
    <x v="719"/>
    <n v="37"/>
    <n v="106067.39"/>
    <n v="24"/>
    <n v="45482.33"/>
    <n v="151549.72"/>
  </r>
  <r>
    <x v="720"/>
    <n v="37"/>
    <n v="85713.56"/>
    <n v="25"/>
    <n v="65820.09"/>
    <n v="151533.65"/>
  </r>
  <r>
    <x v="721"/>
    <n v="33"/>
    <n v="85790.3"/>
    <n v="29"/>
    <n v="65695.600000000006"/>
    <n v="151485.9"/>
  </r>
  <r>
    <x v="722"/>
    <n v="31"/>
    <n v="76395.73"/>
    <n v="28"/>
    <n v="75089.399999999994"/>
    <n v="151485.13"/>
  </r>
  <r>
    <x v="723"/>
    <n v="30"/>
    <n v="71041.05"/>
    <n v="30"/>
    <n v="80298"/>
    <n v="151339.04999999999"/>
  </r>
  <r>
    <x v="724"/>
    <n v="37"/>
    <n v="91932.92"/>
    <n v="22"/>
    <n v="59267.199999999997"/>
    <n v="151200.12"/>
  </r>
  <r>
    <x v="725"/>
    <n v="30"/>
    <n v="65293.64"/>
    <n v="34"/>
    <n v="85883.96"/>
    <n v="151177.60000000001"/>
  </r>
  <r>
    <x v="726"/>
    <n v="30"/>
    <n v="82349.19"/>
    <n v="23"/>
    <n v="68803.960000000006"/>
    <n v="151153.15"/>
  </r>
  <r>
    <x v="727"/>
    <n v="26"/>
    <n v="74863.64"/>
    <n v="29"/>
    <n v="76241.75"/>
    <n v="151105.39000000001"/>
  </r>
  <r>
    <x v="728"/>
    <n v="30"/>
    <n v="71512.03"/>
    <n v="36"/>
    <n v="79551.47"/>
    <n v="151063.5"/>
  </r>
  <r>
    <x v="729"/>
    <n v="33"/>
    <n v="85742.89"/>
    <n v="25"/>
    <n v="65258.05"/>
    <n v="151000.94"/>
  </r>
  <r>
    <x v="730"/>
    <n v="36"/>
    <n v="99625.85"/>
    <n v="23"/>
    <n v="51328.72"/>
    <n v="150954.57"/>
  </r>
  <r>
    <x v="731"/>
    <n v="31"/>
    <n v="81733.27"/>
    <n v="26"/>
    <n v="69169.95"/>
    <n v="150903.22"/>
  </r>
  <r>
    <x v="732"/>
    <n v="37"/>
    <n v="96221.39"/>
    <n v="23"/>
    <n v="54648.49"/>
    <n v="150869.88"/>
  </r>
  <r>
    <x v="733"/>
    <n v="30"/>
    <n v="75066.58"/>
    <n v="33"/>
    <n v="75795.55"/>
    <n v="150862.13"/>
  </r>
  <r>
    <x v="734"/>
    <n v="26"/>
    <n v="65658.149999999994"/>
    <n v="29"/>
    <n v="85184.91"/>
    <n v="150843.06"/>
  </r>
  <r>
    <x v="735"/>
    <n v="29"/>
    <n v="66362.03"/>
    <n v="30"/>
    <n v="84480.18"/>
    <n v="150842.21"/>
  </r>
  <r>
    <x v="736"/>
    <n v="29"/>
    <n v="61593.37"/>
    <n v="33"/>
    <n v="89227.19"/>
    <n v="150820.56"/>
  </r>
  <r>
    <x v="737"/>
    <n v="32"/>
    <n v="80461.84"/>
    <n v="28"/>
    <n v="70308.039999999994"/>
    <n v="150769.88"/>
  </r>
  <r>
    <x v="738"/>
    <n v="30"/>
    <n v="87045.41"/>
    <n v="28"/>
    <n v="63703.87"/>
    <n v="150749.28"/>
  </r>
  <r>
    <x v="739"/>
    <n v="28"/>
    <n v="73096.23"/>
    <n v="33"/>
    <n v="77421.58"/>
    <n v="150517.81"/>
  </r>
  <r>
    <x v="740"/>
    <n v="29"/>
    <n v="82999.22"/>
    <n v="27"/>
    <n v="67424.350000000006"/>
    <n v="150423.57"/>
  </r>
  <r>
    <x v="741"/>
    <n v="33"/>
    <n v="71217.67"/>
    <n v="30"/>
    <n v="79183.039999999994"/>
    <n v="150400.71"/>
  </r>
  <r>
    <x v="742"/>
    <n v="26"/>
    <n v="67764.81"/>
    <n v="31"/>
    <n v="82621.100000000006"/>
    <n v="150385.91"/>
  </r>
  <r>
    <x v="743"/>
    <n v="29"/>
    <n v="78219.44"/>
    <n v="33"/>
    <n v="72143.73"/>
    <n v="150363.16999999899"/>
  </r>
  <r>
    <x v="744"/>
    <n v="28"/>
    <n v="70095.03"/>
    <n v="29"/>
    <n v="80137.95"/>
    <n v="150232.97999999899"/>
  </r>
  <r>
    <x v="745"/>
    <n v="27"/>
    <n v="70521.98"/>
    <n v="31"/>
    <n v="79693.47"/>
    <n v="150215.45000000001"/>
  </r>
  <r>
    <x v="746"/>
    <n v="30"/>
    <n v="74047.91"/>
    <n v="32"/>
    <n v="76167.509999999995"/>
    <n v="150215.41999999899"/>
  </r>
  <r>
    <x v="747"/>
    <n v="24"/>
    <n v="72624.100000000006"/>
    <n v="31"/>
    <n v="77523.3"/>
    <n v="150147.4"/>
  </r>
  <r>
    <x v="748"/>
    <n v="28"/>
    <n v="70690.289999999994"/>
    <n v="31"/>
    <n v="79378.25"/>
    <n v="150068.53999999899"/>
  </r>
  <r>
    <x v="749"/>
    <n v="32"/>
    <n v="66460.399999999994"/>
    <n v="32"/>
    <n v="83581.509999999995"/>
    <n v="150041.90999999901"/>
  </r>
  <r>
    <x v="750"/>
    <n v="24"/>
    <n v="60811.44"/>
    <n v="35"/>
    <n v="89222.52"/>
    <n v="150033.96"/>
  </r>
  <r>
    <x v="751"/>
    <n v="34"/>
    <n v="74937.73"/>
    <n v="31"/>
    <n v="75055.95"/>
    <n v="149993.68"/>
  </r>
  <r>
    <x v="752"/>
    <n v="26"/>
    <n v="68643.02"/>
    <n v="36"/>
    <n v="81342.19"/>
    <n v="149985.21"/>
  </r>
  <r>
    <x v="753"/>
    <n v="33"/>
    <n v="76968.350000000006"/>
    <n v="31"/>
    <n v="72998.02"/>
    <n v="149966.37"/>
  </r>
  <r>
    <x v="754"/>
    <n v="35"/>
    <n v="88175.89"/>
    <n v="22"/>
    <n v="61781.24"/>
    <n v="149957.13"/>
  </r>
  <r>
    <x v="755"/>
    <n v="28"/>
    <n v="69392.570000000007"/>
    <n v="31"/>
    <n v="80505.98"/>
    <n v="149898.54999999999"/>
  </r>
  <r>
    <x v="756"/>
    <n v="35"/>
    <n v="89087.77"/>
    <n v="31"/>
    <n v="60795.56"/>
    <n v="149883.32999999999"/>
  </r>
  <r>
    <x v="757"/>
    <n v="28"/>
    <n v="67107.429999999993"/>
    <n v="34"/>
    <n v="82760.52"/>
    <n v="149867.95000000001"/>
  </r>
  <r>
    <x v="758"/>
    <n v="34"/>
    <n v="81111.3"/>
    <n v="24"/>
    <n v="68688.87"/>
    <n v="149800.16999999899"/>
  </r>
  <r>
    <x v="759"/>
    <n v="19"/>
    <n v="53158.6"/>
    <n v="32"/>
    <n v="96600.52"/>
    <n v="149759.12"/>
  </r>
  <r>
    <x v="760"/>
    <n v="27"/>
    <n v="60093.62"/>
    <n v="30"/>
    <n v="89652.98"/>
    <n v="149746.6"/>
  </r>
  <r>
    <x v="761"/>
    <n v="31"/>
    <n v="64426.75"/>
    <n v="35"/>
    <n v="85295.07"/>
    <n v="149721.82"/>
  </r>
  <r>
    <x v="762"/>
    <n v="20"/>
    <n v="58283.15"/>
    <n v="37"/>
    <n v="91423.83"/>
    <n v="149706.98000000001"/>
  </r>
  <r>
    <x v="763"/>
    <n v="31"/>
    <n v="75546.23"/>
    <n v="27"/>
    <n v="74147.839999999997"/>
    <n v="149694.07"/>
  </r>
  <r>
    <x v="764"/>
    <n v="29"/>
    <n v="72780.179999999993"/>
    <n v="32"/>
    <n v="76889.440000000002"/>
    <n v="149669.62"/>
  </r>
  <r>
    <x v="765"/>
    <n v="23"/>
    <n v="52777.66"/>
    <n v="35"/>
    <n v="96833.57"/>
    <n v="149611.23000000001"/>
  </r>
  <r>
    <x v="766"/>
    <n v="27"/>
    <n v="66921.48"/>
    <n v="40"/>
    <n v="82663.75"/>
    <n v="149585.22999999899"/>
  </r>
  <r>
    <x v="767"/>
    <n v="33"/>
    <n v="89784.47"/>
    <n v="23"/>
    <n v="59760.39"/>
    <n v="149544.85999999999"/>
  </r>
  <r>
    <x v="768"/>
    <n v="25"/>
    <n v="56837.77"/>
    <n v="36"/>
    <n v="92624.42"/>
    <n v="149462.19"/>
  </r>
  <r>
    <x v="769"/>
    <n v="30"/>
    <n v="79538.759999999995"/>
    <n v="23"/>
    <n v="69910.86"/>
    <n v="149449.62"/>
  </r>
  <r>
    <x v="770"/>
    <n v="26"/>
    <n v="66567.73"/>
    <n v="36"/>
    <n v="82730.33"/>
    <n v="149298.06"/>
  </r>
  <r>
    <x v="771"/>
    <n v="33"/>
    <n v="83709.7"/>
    <n v="27"/>
    <n v="65579.33"/>
    <n v="149289.03"/>
  </r>
  <r>
    <x v="772"/>
    <n v="33"/>
    <n v="69490.14"/>
    <n v="30"/>
    <n v="79750.850000000006"/>
    <n v="149240.99"/>
  </r>
  <r>
    <x v="773"/>
    <n v="37"/>
    <n v="96846.2"/>
    <n v="19"/>
    <n v="52360.82"/>
    <n v="149207.01999999999"/>
  </r>
  <r>
    <x v="774"/>
    <n v="40"/>
    <n v="88628.7"/>
    <n v="24"/>
    <n v="60571.28"/>
    <n v="149199.97999999899"/>
  </r>
  <r>
    <x v="775"/>
    <n v="27"/>
    <n v="70530.25"/>
    <n v="30"/>
    <n v="78634.09"/>
    <n v="149164.34"/>
  </r>
  <r>
    <x v="776"/>
    <n v="26"/>
    <n v="69571.009999999995"/>
    <n v="31"/>
    <n v="79557.83"/>
    <n v="149128.84"/>
  </r>
  <r>
    <x v="777"/>
    <n v="33"/>
    <n v="93539.78"/>
    <n v="29"/>
    <n v="55545.760000000002"/>
    <n v="149085.54"/>
  </r>
  <r>
    <x v="778"/>
    <n v="21"/>
    <n v="57386.89"/>
    <n v="41"/>
    <n v="91685.11"/>
    <n v="149072"/>
  </r>
  <r>
    <x v="779"/>
    <n v="31"/>
    <n v="77357.81"/>
    <n v="30"/>
    <n v="71665.59"/>
    <n v="149023.4"/>
  </r>
  <r>
    <x v="780"/>
    <n v="33"/>
    <n v="88932.43"/>
    <n v="28"/>
    <n v="60031.98"/>
    <n v="148964.41"/>
  </r>
  <r>
    <x v="781"/>
    <n v="24"/>
    <n v="60091.519999999997"/>
    <n v="40"/>
    <n v="88842.71"/>
    <n v="148934.23000000001"/>
  </r>
  <r>
    <x v="782"/>
    <n v="37"/>
    <n v="77920.25"/>
    <n v="35"/>
    <n v="71011.28"/>
    <n v="148931.53"/>
  </r>
  <r>
    <x v="783"/>
    <n v="26"/>
    <n v="53810.720000000001"/>
    <n v="35"/>
    <n v="95109.84"/>
    <n v="148920.56"/>
  </r>
  <r>
    <x v="784"/>
    <n v="34"/>
    <n v="90708.47"/>
    <n v="25"/>
    <n v="58209.51"/>
    <n v="148917.98000000001"/>
  </r>
  <r>
    <x v="785"/>
    <n v="40"/>
    <n v="101605.48"/>
    <n v="22"/>
    <n v="47248.52"/>
    <n v="148854"/>
  </r>
  <r>
    <x v="786"/>
    <n v="39"/>
    <n v="88389.19"/>
    <n v="26"/>
    <n v="60456.26"/>
    <n v="148845.45000000001"/>
  </r>
  <r>
    <x v="787"/>
    <n v="29"/>
    <n v="70127.47"/>
    <n v="28"/>
    <n v="78711.600000000006"/>
    <n v="148839.07"/>
  </r>
  <r>
    <x v="788"/>
    <n v="29"/>
    <n v="62821.93"/>
    <n v="31"/>
    <n v="85991.039999999994"/>
    <n v="148812.97"/>
  </r>
  <r>
    <x v="789"/>
    <n v="35"/>
    <n v="80720.09"/>
    <n v="29"/>
    <n v="68053.03"/>
    <n v="148773.12"/>
  </r>
  <r>
    <x v="790"/>
    <n v="30"/>
    <n v="69021.08"/>
    <n v="33"/>
    <n v="79744.320000000007"/>
    <n v="148765.4"/>
  </r>
  <r>
    <x v="791"/>
    <n v="31"/>
    <n v="69388.800000000003"/>
    <n v="34"/>
    <n v="79278.5"/>
    <n v="148667.29999999999"/>
  </r>
  <r>
    <x v="792"/>
    <n v="23"/>
    <n v="60869.31"/>
    <n v="35"/>
    <n v="87752.62"/>
    <n v="148621.93"/>
  </r>
  <r>
    <x v="793"/>
    <n v="25"/>
    <n v="72732.100000000006"/>
    <n v="33"/>
    <n v="75875.75"/>
    <n v="148607.85"/>
  </r>
  <r>
    <x v="794"/>
    <n v="25"/>
    <n v="69208.639999999999"/>
    <n v="33"/>
    <n v="79393.149999999994"/>
    <n v="148601.78999999899"/>
  </r>
  <r>
    <x v="795"/>
    <n v="30"/>
    <n v="72392.23"/>
    <n v="35"/>
    <n v="76206.039999999994"/>
    <n v="148598.26999999999"/>
  </r>
  <r>
    <x v="796"/>
    <n v="29"/>
    <n v="74840.02"/>
    <n v="32"/>
    <n v="73758.2"/>
    <n v="148598.22"/>
  </r>
  <r>
    <x v="797"/>
    <n v="32"/>
    <n v="77241.16"/>
    <n v="26"/>
    <n v="71351.81"/>
    <n v="148592.97"/>
  </r>
  <r>
    <x v="798"/>
    <n v="33"/>
    <n v="82805.05"/>
    <n v="26"/>
    <n v="65761.679999999993"/>
    <n v="148566.72999999899"/>
  </r>
  <r>
    <x v="799"/>
    <n v="29"/>
    <n v="82055.95"/>
    <n v="33"/>
    <n v="66491.09"/>
    <n v="148547.03999999899"/>
  </r>
  <r>
    <x v="800"/>
    <n v="32"/>
    <n v="75538.16"/>
    <n v="32"/>
    <n v="72988.820000000007"/>
    <n v="148526.98000000001"/>
  </r>
  <r>
    <x v="801"/>
    <n v="25"/>
    <n v="52361.88"/>
    <n v="36"/>
    <n v="96139.45"/>
    <n v="148501.32999999999"/>
  </r>
  <r>
    <x v="802"/>
    <n v="34"/>
    <n v="81209.8"/>
    <n v="30"/>
    <n v="67259.28"/>
    <n v="148469.07999999999"/>
  </r>
  <r>
    <x v="803"/>
    <n v="33"/>
    <n v="77882.16"/>
    <n v="30"/>
    <n v="70508.06"/>
    <n v="148390.22"/>
  </r>
  <r>
    <x v="804"/>
    <n v="31"/>
    <n v="81603.38"/>
    <n v="30"/>
    <n v="66773.95"/>
    <n v="148377.32999999999"/>
  </r>
  <r>
    <x v="805"/>
    <n v="26"/>
    <n v="62007.27"/>
    <n v="31"/>
    <n v="86350.33"/>
    <n v="148357.6"/>
  </r>
  <r>
    <x v="806"/>
    <n v="30"/>
    <n v="65567.66"/>
    <n v="29"/>
    <n v="82748.759999999995"/>
    <n v="148316.41999999899"/>
  </r>
  <r>
    <x v="807"/>
    <n v="26"/>
    <n v="58909.22"/>
    <n v="34"/>
    <n v="89385.63"/>
    <n v="148294.85"/>
  </r>
  <r>
    <x v="808"/>
    <n v="30"/>
    <n v="76199.72"/>
    <n v="28"/>
    <n v="72040.66"/>
    <n v="148240.38"/>
  </r>
  <r>
    <x v="809"/>
    <n v="34"/>
    <n v="90087.86"/>
    <n v="24"/>
    <n v="58046.35"/>
    <n v="148134.21"/>
  </r>
  <r>
    <x v="810"/>
    <n v="26"/>
    <n v="64953.98"/>
    <n v="29"/>
    <n v="83177.91"/>
    <n v="148131.89000000001"/>
  </r>
  <r>
    <x v="811"/>
    <n v="34"/>
    <n v="79745.56"/>
    <n v="25"/>
    <n v="68379.3"/>
    <n v="148124.85999999999"/>
  </r>
  <r>
    <x v="812"/>
    <n v="27"/>
    <n v="64161.440000000002"/>
    <n v="32"/>
    <n v="83824.89"/>
    <n v="147986.32999999999"/>
  </r>
  <r>
    <x v="813"/>
    <n v="26"/>
    <n v="66430.84"/>
    <n v="33"/>
    <n v="81544.33"/>
    <n v="147975.16999999899"/>
  </r>
  <r>
    <x v="814"/>
    <n v="38"/>
    <n v="82039.320000000007"/>
    <n v="29"/>
    <n v="65854.149999999994"/>
    <n v="147893.47"/>
  </r>
  <r>
    <x v="815"/>
    <n v="28"/>
    <n v="76339.5"/>
    <n v="29"/>
    <n v="71541.649999999994"/>
    <n v="147881.15"/>
  </r>
  <r>
    <x v="816"/>
    <n v="41"/>
    <n v="85490.23"/>
    <n v="25"/>
    <n v="62355.18"/>
    <n v="147845.41"/>
  </r>
  <r>
    <x v="817"/>
    <n v="31"/>
    <n v="70561.25"/>
    <n v="29"/>
    <n v="77263.009999999995"/>
    <n v="147824.26"/>
  </r>
  <r>
    <x v="818"/>
    <n v="28"/>
    <n v="62898.28"/>
    <n v="28"/>
    <n v="84917.87"/>
    <n v="147816.15"/>
  </r>
  <r>
    <x v="819"/>
    <n v="38"/>
    <n v="90382.26"/>
    <n v="24"/>
    <n v="57431.28"/>
    <n v="147813.53999999899"/>
  </r>
  <r>
    <x v="820"/>
    <n v="25"/>
    <n v="72317.600000000006"/>
    <n v="28"/>
    <n v="75454.53"/>
    <n v="147772.13"/>
  </r>
  <r>
    <x v="821"/>
    <n v="24"/>
    <n v="59973.48"/>
    <n v="36"/>
    <n v="87724.46"/>
    <n v="147697.94"/>
  </r>
  <r>
    <x v="822"/>
    <n v="32"/>
    <n v="71874.17"/>
    <n v="31"/>
    <n v="75807.3"/>
    <n v="147681.47"/>
  </r>
  <r>
    <x v="823"/>
    <n v="34"/>
    <n v="94119.33"/>
    <n v="21"/>
    <n v="53481.04"/>
    <n v="147600.37"/>
  </r>
  <r>
    <x v="824"/>
    <n v="28"/>
    <n v="79632.11"/>
    <n v="28"/>
    <n v="67963.490000000005"/>
    <n v="147595.6"/>
  </r>
  <r>
    <x v="825"/>
    <n v="23"/>
    <n v="65318"/>
    <n v="35"/>
    <n v="82236.179999999993"/>
    <n v="147554.18"/>
  </r>
  <r>
    <x v="826"/>
    <n v="33"/>
    <n v="92484.91"/>
    <n v="26"/>
    <n v="55030.55"/>
    <n v="147515.46"/>
  </r>
  <r>
    <x v="827"/>
    <n v="29"/>
    <n v="65335.47"/>
    <n v="30"/>
    <n v="82179.94"/>
    <n v="147515.41"/>
  </r>
  <r>
    <x v="828"/>
    <n v="34"/>
    <n v="80284.320000000007"/>
    <n v="32"/>
    <n v="67159.88"/>
    <n v="147444.20000000001"/>
  </r>
  <r>
    <x v="829"/>
    <n v="27"/>
    <n v="61089.18"/>
    <n v="33"/>
    <n v="86332.52"/>
    <n v="147421.70000000001"/>
  </r>
  <r>
    <x v="830"/>
    <n v="28"/>
    <n v="60206.92"/>
    <n v="31"/>
    <n v="87211.74"/>
    <n v="147418.66"/>
  </r>
  <r>
    <x v="831"/>
    <n v="34"/>
    <n v="69306.039999999994"/>
    <n v="29"/>
    <n v="78092.17"/>
    <n v="147398.21"/>
  </r>
  <r>
    <x v="832"/>
    <n v="33"/>
    <n v="84908.5"/>
    <n v="29"/>
    <n v="62454.67"/>
    <n v="147363.16999999899"/>
  </r>
  <r>
    <x v="833"/>
    <n v="32"/>
    <n v="83356.37"/>
    <n v="27"/>
    <n v="64001.66"/>
    <n v="147358.03"/>
  </r>
  <r>
    <x v="834"/>
    <n v="35"/>
    <n v="83446.990000000005"/>
    <n v="27"/>
    <n v="63904.92"/>
    <n v="147351.91"/>
  </r>
  <r>
    <x v="835"/>
    <n v="28"/>
    <n v="79786.39"/>
    <n v="25"/>
    <n v="67557.02"/>
    <n v="147343.41"/>
  </r>
  <r>
    <x v="836"/>
    <n v="32"/>
    <n v="93491.58"/>
    <n v="20"/>
    <n v="53829.19"/>
    <n v="147320.76999999999"/>
  </r>
  <r>
    <x v="837"/>
    <n v="37"/>
    <n v="80815.78"/>
    <n v="31"/>
    <n v="66445.98"/>
    <n v="147261.76000000001"/>
  </r>
  <r>
    <x v="838"/>
    <n v="28"/>
    <n v="82477.98"/>
    <n v="28"/>
    <n v="64758.55"/>
    <n v="147236.53"/>
  </r>
  <r>
    <x v="839"/>
    <n v="21"/>
    <n v="51286.720000000001"/>
    <n v="43"/>
    <n v="95943.3"/>
    <n v="147230.01999999999"/>
  </r>
  <r>
    <x v="840"/>
    <n v="30"/>
    <n v="83583.350000000006"/>
    <n v="32"/>
    <n v="63607.08"/>
    <n v="147190.43"/>
  </r>
  <r>
    <x v="841"/>
    <n v="34"/>
    <n v="69437.899999999994"/>
    <n v="29"/>
    <n v="77721.990000000005"/>
    <n v="147159.89000000001"/>
  </r>
  <r>
    <x v="842"/>
    <n v="25"/>
    <n v="58539.69"/>
    <n v="36"/>
    <n v="88578.16"/>
    <n v="147117.85"/>
  </r>
  <r>
    <x v="843"/>
    <n v="28"/>
    <n v="64737.45"/>
    <n v="30"/>
    <n v="82359.05"/>
    <n v="147096.5"/>
  </r>
  <r>
    <x v="844"/>
    <n v="25"/>
    <n v="63319.03"/>
    <n v="31"/>
    <n v="83760.92"/>
    <n v="147079.95000000001"/>
  </r>
  <r>
    <x v="845"/>
    <n v="29"/>
    <n v="69042.009999999995"/>
    <n v="31"/>
    <n v="78033.11"/>
    <n v="147075.12"/>
  </r>
  <r>
    <x v="846"/>
    <n v="25"/>
    <n v="69652.44"/>
    <n v="31"/>
    <n v="77419.100000000006"/>
    <n v="147071.54"/>
  </r>
  <r>
    <x v="847"/>
    <n v="26"/>
    <n v="76961.399999999994"/>
    <n v="33"/>
    <n v="70109"/>
    <n v="147070.39999999999"/>
  </r>
  <r>
    <x v="848"/>
    <n v="38"/>
    <n v="98178.54"/>
    <n v="21"/>
    <n v="48867.13"/>
    <n v="147045.66999999899"/>
  </r>
  <r>
    <x v="849"/>
    <n v="33"/>
    <n v="93357.79"/>
    <n v="21"/>
    <n v="53628.13"/>
    <n v="146985.91999999899"/>
  </r>
  <r>
    <x v="850"/>
    <n v="26"/>
    <n v="73004.73"/>
    <n v="31"/>
    <n v="73932.05"/>
    <n v="146936.78"/>
  </r>
  <r>
    <x v="851"/>
    <n v="31"/>
    <n v="75193.429999999993"/>
    <n v="25"/>
    <n v="71697.279999999999"/>
    <n v="146890.71"/>
  </r>
  <r>
    <x v="852"/>
    <n v="32"/>
    <n v="72043.149999999994"/>
    <n v="33"/>
    <n v="74767.649999999994"/>
    <n v="146810.79999999999"/>
  </r>
  <r>
    <x v="853"/>
    <n v="28"/>
    <n v="61565.38"/>
    <n v="32"/>
    <n v="85219.05"/>
    <n v="146784.43"/>
  </r>
  <r>
    <x v="854"/>
    <n v="31"/>
    <n v="75907.960000000006"/>
    <n v="28"/>
    <n v="70802.09"/>
    <n v="146710.04999999999"/>
  </r>
  <r>
    <x v="855"/>
    <n v="29"/>
    <n v="63253.99"/>
    <n v="31"/>
    <n v="83427.429999999993"/>
    <n v="146681.41999999899"/>
  </r>
  <r>
    <x v="856"/>
    <n v="26"/>
    <n v="69756.66"/>
    <n v="31"/>
    <n v="76922.7"/>
    <n v="146679.35999999999"/>
  </r>
  <r>
    <x v="857"/>
    <n v="34"/>
    <n v="81758.36"/>
    <n v="29"/>
    <n v="64907.22"/>
    <n v="146665.57999999999"/>
  </r>
  <r>
    <x v="858"/>
    <n v="28"/>
    <n v="76372.899999999994"/>
    <n v="26"/>
    <n v="70268.850000000006"/>
    <n v="146641.75"/>
  </r>
  <r>
    <x v="859"/>
    <n v="23"/>
    <n v="63439.44"/>
    <n v="29"/>
    <n v="83157.399999999994"/>
    <n v="146596.84"/>
  </r>
  <r>
    <x v="860"/>
    <n v="34"/>
    <n v="83308.509999999995"/>
    <n v="30"/>
    <n v="63271.98"/>
    <n v="146580.49"/>
  </r>
  <r>
    <x v="861"/>
    <n v="32"/>
    <n v="70834.3"/>
    <n v="34"/>
    <n v="75740.03"/>
    <n v="146574.32999999999"/>
  </r>
  <r>
    <x v="862"/>
    <n v="31"/>
    <n v="77456.850000000006"/>
    <n v="28"/>
    <n v="69105.84"/>
    <n v="146562.69"/>
  </r>
  <r>
    <x v="863"/>
    <n v="31"/>
    <n v="79481.41"/>
    <n v="29"/>
    <n v="67071.649999999994"/>
    <n v="146553.06"/>
  </r>
  <r>
    <x v="864"/>
    <n v="32"/>
    <n v="77882.649999999994"/>
    <n v="25"/>
    <n v="68639.89"/>
    <n v="146522.53999999899"/>
  </r>
  <r>
    <x v="865"/>
    <n v="39"/>
    <n v="87862.29"/>
    <n v="25"/>
    <n v="58637.919999999998"/>
    <n v="146500.21"/>
  </r>
  <r>
    <x v="866"/>
    <n v="34"/>
    <n v="74895.95"/>
    <n v="26"/>
    <n v="71574.080000000002"/>
    <n v="146470.03"/>
  </r>
  <r>
    <x v="867"/>
    <n v="35"/>
    <n v="77205.83"/>
    <n v="31"/>
    <n v="69252.679999999993"/>
    <n v="146458.51"/>
  </r>
  <r>
    <x v="868"/>
    <n v="21"/>
    <n v="57424.24"/>
    <n v="37"/>
    <n v="89013.1"/>
    <n v="146437.34"/>
  </r>
  <r>
    <x v="869"/>
    <n v="33"/>
    <n v="75695.490000000005"/>
    <n v="27"/>
    <n v="70680.58"/>
    <n v="146376.07"/>
  </r>
  <r>
    <x v="870"/>
    <n v="36"/>
    <n v="84703.99"/>
    <n v="27"/>
    <n v="61619.81"/>
    <n v="146323.79999999999"/>
  </r>
  <r>
    <x v="871"/>
    <n v="31"/>
    <n v="60497.34"/>
    <n v="40"/>
    <n v="85751.93"/>
    <n v="146249.26999999999"/>
  </r>
  <r>
    <x v="872"/>
    <n v="32"/>
    <n v="78664.7"/>
    <n v="21"/>
    <n v="67581.960000000006"/>
    <n v="146246.66"/>
  </r>
  <r>
    <x v="873"/>
    <n v="29"/>
    <n v="71101"/>
    <n v="28"/>
    <n v="75144.7"/>
    <n v="146245.70000000001"/>
  </r>
  <r>
    <x v="874"/>
    <n v="31"/>
    <n v="79303.11"/>
    <n v="31"/>
    <n v="66926.149999999994"/>
    <n v="146229.26"/>
  </r>
  <r>
    <x v="875"/>
    <n v="28"/>
    <n v="68248.2"/>
    <n v="29"/>
    <n v="77963.7"/>
    <n v="146211.9"/>
  </r>
  <r>
    <x v="876"/>
    <n v="31"/>
    <n v="78652.570000000007"/>
    <n v="34"/>
    <n v="67500.28"/>
    <n v="146152.85"/>
  </r>
  <r>
    <x v="877"/>
    <n v="29"/>
    <n v="68479.199999999997"/>
    <n v="30"/>
    <n v="77647.22"/>
    <n v="146126.41999999899"/>
  </r>
  <r>
    <x v="878"/>
    <n v="21"/>
    <n v="67068.759999999995"/>
    <n v="39"/>
    <n v="79004.539999999994"/>
    <n v="146073.29999999999"/>
  </r>
  <r>
    <x v="879"/>
    <n v="25"/>
    <n v="60207.519999999997"/>
    <n v="32"/>
    <n v="85834.86"/>
    <n v="146042.38"/>
  </r>
  <r>
    <x v="880"/>
    <n v="27"/>
    <n v="66743.91"/>
    <n v="31"/>
    <n v="79287.63"/>
    <n v="146031.54"/>
  </r>
  <r>
    <x v="881"/>
    <n v="37"/>
    <n v="82208.570000000007"/>
    <n v="26"/>
    <n v="63772.95"/>
    <n v="145981.51999999999"/>
  </r>
  <r>
    <x v="882"/>
    <n v="32"/>
    <n v="88462.82"/>
    <n v="26"/>
    <n v="57445.96"/>
    <n v="145908.78"/>
  </r>
  <r>
    <x v="883"/>
    <n v="41"/>
    <n v="86012.87"/>
    <n v="26"/>
    <n v="59891.31"/>
    <n v="145904.18"/>
  </r>
  <r>
    <x v="884"/>
    <n v="31"/>
    <n v="73463.789999999994"/>
    <n v="30"/>
    <n v="72425.05"/>
    <n v="145888.84"/>
  </r>
  <r>
    <x v="885"/>
    <n v="31"/>
    <n v="72294.69"/>
    <n v="33"/>
    <n v="73553.16"/>
    <n v="145847.85"/>
  </r>
  <r>
    <x v="886"/>
    <n v="22"/>
    <n v="50471.67"/>
    <n v="37"/>
    <n v="95350.75"/>
    <n v="145822.41999999899"/>
  </r>
  <r>
    <x v="887"/>
    <n v="33"/>
    <n v="74887.850000000006"/>
    <n v="26"/>
    <n v="70914.23"/>
    <n v="145802.07999999999"/>
  </r>
  <r>
    <x v="888"/>
    <n v="29"/>
    <n v="60384.42"/>
    <n v="35"/>
    <n v="85409.79"/>
    <n v="145794.21"/>
  </r>
  <r>
    <x v="889"/>
    <n v="33"/>
    <n v="90636.97"/>
    <n v="24"/>
    <n v="55092.62"/>
    <n v="145729.59"/>
  </r>
  <r>
    <x v="890"/>
    <n v="31"/>
    <n v="90197.34"/>
    <n v="22"/>
    <n v="55519.29"/>
    <n v="145716.63"/>
  </r>
  <r>
    <x v="891"/>
    <n v="28"/>
    <n v="60193.36"/>
    <n v="36"/>
    <n v="85415.22"/>
    <n v="145608.57999999999"/>
  </r>
  <r>
    <x v="892"/>
    <n v="33"/>
    <n v="89569.67"/>
    <n v="24"/>
    <n v="56029.47"/>
    <n v="145599.14000000001"/>
  </r>
  <r>
    <x v="893"/>
    <n v="30"/>
    <n v="70738.289999999994"/>
    <n v="32"/>
    <n v="74679.98"/>
    <n v="145418.26999999999"/>
  </r>
  <r>
    <x v="894"/>
    <n v="33"/>
    <n v="91991.38"/>
    <n v="22"/>
    <n v="53393.82"/>
    <n v="145385.20000000001"/>
  </r>
  <r>
    <x v="895"/>
    <n v="32"/>
    <n v="70520.55"/>
    <n v="30"/>
    <n v="74777.87"/>
    <n v="145298.41999999899"/>
  </r>
  <r>
    <x v="896"/>
    <n v="22"/>
    <n v="48480.25"/>
    <n v="36"/>
    <n v="96813.01"/>
    <n v="145293.26"/>
  </r>
  <r>
    <x v="897"/>
    <n v="32"/>
    <n v="87952.63"/>
    <n v="26"/>
    <n v="57320.18"/>
    <n v="145272.81"/>
  </r>
  <r>
    <x v="898"/>
    <n v="31"/>
    <n v="85688.49"/>
    <n v="22"/>
    <n v="59580.66"/>
    <n v="145269.15"/>
  </r>
  <r>
    <x v="899"/>
    <n v="27"/>
    <n v="76040.14"/>
    <n v="27"/>
    <n v="69214.649999999994"/>
    <n v="145254.78999999899"/>
  </r>
  <r>
    <x v="900"/>
    <n v="33"/>
    <n v="74614.75"/>
    <n v="26"/>
    <n v="70570.78"/>
    <n v="145185.53"/>
  </r>
  <r>
    <x v="901"/>
    <n v="26"/>
    <n v="75941.740000000005"/>
    <n v="28"/>
    <n v="69209.17"/>
    <n v="145150.91"/>
  </r>
  <r>
    <x v="902"/>
    <n v="26"/>
    <n v="59515.29"/>
    <n v="31"/>
    <n v="85610.37"/>
    <n v="145125.66"/>
  </r>
  <r>
    <x v="903"/>
    <n v="33"/>
    <n v="75031.789999999994"/>
    <n v="30"/>
    <n v="70032.94"/>
    <n v="145064.72999999899"/>
  </r>
  <r>
    <x v="904"/>
    <n v="28"/>
    <n v="59763.77"/>
    <n v="40"/>
    <n v="85295.51"/>
    <n v="145059.28"/>
  </r>
  <r>
    <x v="905"/>
    <n v="23"/>
    <n v="63139.59"/>
    <n v="30"/>
    <n v="81901.75"/>
    <n v="145041.34"/>
  </r>
  <r>
    <x v="906"/>
    <n v="30"/>
    <n v="74549.429999999993"/>
    <n v="28"/>
    <n v="70463.02"/>
    <n v="145012.45000000001"/>
  </r>
  <r>
    <x v="907"/>
    <n v="31"/>
    <n v="72884.75"/>
    <n v="28"/>
    <n v="72122.13"/>
    <n v="145006.88"/>
  </r>
  <r>
    <x v="908"/>
    <n v="34"/>
    <n v="67253.119999999995"/>
    <n v="29"/>
    <n v="77747.78"/>
    <n v="145000.9"/>
  </r>
  <r>
    <x v="909"/>
    <n v="28"/>
    <n v="72400.800000000003"/>
    <n v="31"/>
    <n v="72563.78"/>
    <n v="144964.57999999999"/>
  </r>
  <r>
    <x v="910"/>
    <n v="26"/>
    <n v="67045.14"/>
    <n v="32"/>
    <n v="77890.7"/>
    <n v="144935.84"/>
  </r>
  <r>
    <x v="911"/>
    <n v="28"/>
    <n v="58344.51"/>
    <n v="34"/>
    <n v="86576.84"/>
    <n v="144921.35"/>
  </r>
  <r>
    <x v="912"/>
    <n v="32"/>
    <n v="66782.17"/>
    <n v="32"/>
    <n v="78117.91"/>
    <n v="144900.07999999999"/>
  </r>
  <r>
    <x v="913"/>
    <n v="25"/>
    <n v="67394.710000000006"/>
    <n v="35"/>
    <n v="77484.31"/>
    <n v="144879.01999999999"/>
  </r>
  <r>
    <x v="914"/>
    <n v="28"/>
    <n v="84494.37"/>
    <n v="29"/>
    <n v="60382.52"/>
    <n v="144876.889999999"/>
  </r>
  <r>
    <x v="915"/>
    <n v="23"/>
    <n v="54566.239999999998"/>
    <n v="33"/>
    <n v="90278.73"/>
    <n v="144844.97"/>
  </r>
  <r>
    <x v="916"/>
    <n v="36"/>
    <n v="89885.83"/>
    <n v="23"/>
    <n v="54947.21"/>
    <n v="144833.04"/>
  </r>
  <r>
    <x v="917"/>
    <n v="32"/>
    <n v="78392.320000000007"/>
    <n v="29"/>
    <n v="66410.649999999994"/>
    <n v="144802.97"/>
  </r>
  <r>
    <x v="918"/>
    <n v="23"/>
    <n v="58843.199999999997"/>
    <n v="31"/>
    <n v="85874.86"/>
    <n v="144718.06"/>
  </r>
  <r>
    <x v="919"/>
    <n v="22"/>
    <n v="51488.7"/>
    <n v="35"/>
    <n v="93217.62"/>
    <n v="144706.32"/>
  </r>
  <r>
    <x v="920"/>
    <n v="39"/>
    <n v="87035.3"/>
    <n v="22"/>
    <n v="57607.65"/>
    <n v="144642.95000000001"/>
  </r>
  <r>
    <x v="921"/>
    <n v="35"/>
    <n v="78406.28"/>
    <n v="24"/>
    <n v="66201.48"/>
    <n v="144607.76"/>
  </r>
  <r>
    <x v="922"/>
    <n v="34"/>
    <n v="72903.78"/>
    <n v="35"/>
    <n v="71646.350000000006"/>
    <n v="144550.13"/>
  </r>
  <r>
    <x v="923"/>
    <n v="24"/>
    <n v="61608.99"/>
    <n v="35"/>
    <n v="82893.070000000007"/>
    <n v="144502.06"/>
  </r>
  <r>
    <x v="924"/>
    <n v="23"/>
    <n v="65035.23"/>
    <n v="34"/>
    <n v="79446.06"/>
    <n v="144481.29"/>
  </r>
  <r>
    <x v="925"/>
    <n v="23"/>
    <n v="50755.45"/>
    <n v="35"/>
    <n v="93721.5"/>
    <n v="144476.95000000001"/>
  </r>
  <r>
    <x v="926"/>
    <n v="30"/>
    <n v="68022.97"/>
    <n v="29"/>
    <n v="76448.17"/>
    <n v="144471.14000000001"/>
  </r>
  <r>
    <x v="927"/>
    <n v="28"/>
    <n v="75840.23"/>
    <n v="27"/>
    <n v="68600.63"/>
    <n v="144440.85999999999"/>
  </r>
  <r>
    <x v="928"/>
    <n v="41"/>
    <n v="97490.240000000005"/>
    <n v="22"/>
    <n v="46944.41"/>
    <n v="144434.65"/>
  </r>
  <r>
    <x v="929"/>
    <n v="32"/>
    <n v="76608.649999999994"/>
    <n v="27"/>
    <n v="67825.59"/>
    <n v="144434.23999999999"/>
  </r>
  <r>
    <x v="930"/>
    <n v="20"/>
    <n v="54159.34"/>
    <n v="30"/>
    <n v="90244.97"/>
    <n v="144404.31"/>
  </r>
  <r>
    <x v="931"/>
    <n v="26"/>
    <n v="64475.48"/>
    <n v="29"/>
    <n v="79913.59"/>
    <n v="144389.07"/>
  </r>
  <r>
    <x v="932"/>
    <n v="27"/>
    <n v="78615.47"/>
    <n v="25"/>
    <n v="65764.820000000007"/>
    <n v="144380.29"/>
  </r>
  <r>
    <x v="933"/>
    <n v="29"/>
    <n v="78228.09"/>
    <n v="33"/>
    <n v="66150.960000000006"/>
    <n v="144379.04999999999"/>
  </r>
  <r>
    <x v="934"/>
    <n v="37"/>
    <n v="90879.07"/>
    <n v="17"/>
    <n v="53442.71"/>
    <n v="144321.78"/>
  </r>
  <r>
    <x v="935"/>
    <n v="33"/>
    <n v="84641.55"/>
    <n v="24"/>
    <n v="59675.88"/>
    <n v="144317.43"/>
  </r>
  <r>
    <x v="936"/>
    <n v="42"/>
    <n v="87047.39"/>
    <n v="22"/>
    <n v="57245.09"/>
    <n v="144292.47999999899"/>
  </r>
  <r>
    <x v="937"/>
    <n v="30"/>
    <n v="63640.78"/>
    <n v="34"/>
    <n v="80592.33"/>
    <n v="144233.10999999999"/>
  </r>
  <r>
    <x v="938"/>
    <n v="30"/>
    <n v="66489.509999999995"/>
    <n v="30"/>
    <n v="77725.58"/>
    <n v="144215.09"/>
  </r>
  <r>
    <x v="939"/>
    <n v="34"/>
    <n v="75358.16"/>
    <n v="34"/>
    <n v="68849.41"/>
    <n v="144207.57"/>
  </r>
  <r>
    <x v="940"/>
    <n v="35"/>
    <n v="72868.95"/>
    <n v="29"/>
    <n v="71269.27"/>
    <n v="144138.22"/>
  </r>
  <r>
    <x v="941"/>
    <n v="36"/>
    <n v="83249.84"/>
    <n v="28"/>
    <n v="60782.02"/>
    <n v="144031.85999999999"/>
  </r>
  <r>
    <x v="942"/>
    <n v="29"/>
    <n v="70783.039999999994"/>
    <n v="27"/>
    <n v="73215.48"/>
    <n v="143998.51999999999"/>
  </r>
  <r>
    <x v="943"/>
    <n v="23"/>
    <n v="62328.98"/>
    <n v="32"/>
    <n v="81637.48"/>
    <n v="143966.46"/>
  </r>
  <r>
    <x v="944"/>
    <n v="29"/>
    <n v="58352.62"/>
    <n v="40"/>
    <n v="85608.62"/>
    <n v="143961.24"/>
  </r>
  <r>
    <x v="945"/>
    <n v="26"/>
    <n v="65463.81"/>
    <n v="31"/>
    <n v="78449.509999999995"/>
    <n v="143913.32"/>
  </r>
  <r>
    <x v="946"/>
    <n v="38"/>
    <n v="87410.08"/>
    <n v="25"/>
    <n v="56490.8"/>
    <n v="143900.88"/>
  </r>
  <r>
    <x v="947"/>
    <n v="27"/>
    <n v="72159.55"/>
    <n v="29"/>
    <n v="71719.460000000006"/>
    <n v="143879.01"/>
  </r>
  <r>
    <x v="948"/>
    <n v="27"/>
    <n v="89642"/>
    <n v="25"/>
    <n v="54181.98"/>
    <n v="143823.98000000001"/>
  </r>
  <r>
    <x v="949"/>
    <n v="36"/>
    <n v="93998.91"/>
    <n v="22"/>
    <n v="49800.13"/>
    <n v="143799.04000000001"/>
  </r>
  <r>
    <x v="950"/>
    <n v="31"/>
    <n v="79568.05"/>
    <n v="23"/>
    <n v="64196.82"/>
    <n v="143764.87"/>
  </r>
  <r>
    <x v="951"/>
    <n v="32"/>
    <n v="76271.210000000006"/>
    <n v="26"/>
    <n v="67485.39"/>
    <n v="143756.6"/>
  </r>
  <r>
    <x v="952"/>
    <n v="29"/>
    <n v="70960.08"/>
    <n v="31"/>
    <n v="72788.41"/>
    <n v="143748.49"/>
  </r>
  <r>
    <x v="953"/>
    <n v="27"/>
    <n v="72464.75"/>
    <n v="28"/>
    <n v="71282.28"/>
    <n v="143747.03"/>
  </r>
  <r>
    <x v="954"/>
    <n v="27"/>
    <n v="66176.179999999993"/>
    <n v="33"/>
    <n v="77509.83"/>
    <n v="143686.01"/>
  </r>
  <r>
    <x v="955"/>
    <n v="23"/>
    <n v="62939.1"/>
    <n v="31"/>
    <n v="80735.740000000005"/>
    <n v="143674.84"/>
  </r>
  <r>
    <x v="956"/>
    <n v="31"/>
    <n v="72629.06"/>
    <n v="30"/>
    <n v="71044.61"/>
    <n v="143673.66999999899"/>
  </r>
  <r>
    <x v="957"/>
    <n v="28"/>
    <n v="66900.240000000005"/>
    <n v="30"/>
    <n v="76723.100000000006"/>
    <n v="143623.34"/>
  </r>
  <r>
    <x v="958"/>
    <n v="32"/>
    <n v="85952.12"/>
    <n v="29"/>
    <n v="57635.12"/>
    <n v="143587.24"/>
  </r>
  <r>
    <x v="959"/>
    <n v="31"/>
    <n v="76262.3"/>
    <n v="27"/>
    <n v="67319.490000000005"/>
    <n v="143581.79"/>
  </r>
  <r>
    <x v="960"/>
    <n v="29"/>
    <n v="72615"/>
    <n v="29"/>
    <n v="70949.679999999993"/>
    <n v="143564.68"/>
  </r>
  <r>
    <x v="961"/>
    <n v="34"/>
    <n v="79482.17"/>
    <n v="27"/>
    <n v="64026.69"/>
    <n v="143508.85999999999"/>
  </r>
  <r>
    <x v="962"/>
    <n v="26"/>
    <n v="57916.26"/>
    <n v="36"/>
    <n v="85573.42"/>
    <n v="143489.68"/>
  </r>
  <r>
    <x v="963"/>
    <n v="24"/>
    <n v="55890.66"/>
    <n v="35"/>
    <n v="87580.95"/>
    <n v="143471.60999999999"/>
  </r>
  <r>
    <x v="964"/>
    <n v="27"/>
    <n v="60411.65"/>
    <n v="31"/>
    <n v="83040.210000000006"/>
    <n v="143451.85999999999"/>
  </r>
  <r>
    <x v="965"/>
    <n v="30"/>
    <n v="67021.7"/>
    <n v="25"/>
    <n v="76411.86"/>
    <n v="143433.56"/>
  </r>
  <r>
    <x v="966"/>
    <n v="30"/>
    <n v="75709.789999999994"/>
    <n v="29"/>
    <n v="67617.759999999995"/>
    <n v="143327.54999999999"/>
  </r>
  <r>
    <x v="967"/>
    <n v="28"/>
    <n v="71507.990000000005"/>
    <n v="32"/>
    <n v="71814.41"/>
    <n v="143322.4"/>
  </r>
  <r>
    <x v="968"/>
    <n v="24"/>
    <n v="58682"/>
    <n v="35"/>
    <n v="84633.67"/>
    <n v="143315.66999999899"/>
  </r>
  <r>
    <x v="969"/>
    <n v="22"/>
    <n v="62056.01"/>
    <n v="30"/>
    <n v="81249.87"/>
    <n v="143305.88"/>
  </r>
  <r>
    <x v="970"/>
    <n v="31"/>
    <n v="73848.429999999993"/>
    <n v="33"/>
    <n v="69440.039999999994"/>
    <n v="143288.46999999901"/>
  </r>
  <r>
    <x v="971"/>
    <n v="30"/>
    <n v="78470.259999999995"/>
    <n v="24"/>
    <n v="64786.99"/>
    <n v="143257.25"/>
  </r>
  <r>
    <x v="972"/>
    <n v="27"/>
    <n v="70653.81"/>
    <n v="29"/>
    <n v="72597.8"/>
    <n v="143251.60999999999"/>
  </r>
  <r>
    <x v="973"/>
    <n v="37"/>
    <n v="81667.97"/>
    <n v="25"/>
    <n v="61474.86"/>
    <n v="143142.82999999999"/>
  </r>
  <r>
    <x v="974"/>
    <n v="23"/>
    <n v="50368.21"/>
    <n v="30"/>
    <n v="92680.960000000006"/>
    <n v="143049.17000000001"/>
  </r>
  <r>
    <x v="975"/>
    <n v="28"/>
    <n v="74662.41"/>
    <n v="30"/>
    <n v="68343.23"/>
    <n v="143005.64000000001"/>
  </r>
  <r>
    <x v="976"/>
    <n v="27"/>
    <n v="68684.27"/>
    <n v="33"/>
    <n v="74310.62"/>
    <n v="142994.89000000001"/>
  </r>
  <r>
    <x v="977"/>
    <n v="29"/>
    <n v="72362.070000000007"/>
    <n v="32"/>
    <n v="70620.649999999994"/>
    <n v="142982.72"/>
  </r>
  <r>
    <x v="978"/>
    <n v="32"/>
    <n v="76583.59"/>
    <n v="29"/>
    <n v="66388.45"/>
    <n v="142972.03999999899"/>
  </r>
  <r>
    <x v="979"/>
    <n v="32"/>
    <n v="81351.78"/>
    <n v="28"/>
    <n v="61602.61"/>
    <n v="142954.39000000001"/>
  </r>
  <r>
    <x v="980"/>
    <n v="34"/>
    <n v="72931.37"/>
    <n v="32"/>
    <n v="70018.62"/>
    <n v="142949.99"/>
  </r>
  <r>
    <x v="981"/>
    <n v="37"/>
    <n v="81729.88"/>
    <n v="28"/>
    <n v="61179.11"/>
    <n v="142908.99"/>
  </r>
  <r>
    <x v="982"/>
    <n v="24"/>
    <n v="68666.539999999994"/>
    <n v="32"/>
    <n v="74232.740000000005"/>
    <n v="142899.28"/>
  </r>
  <r>
    <x v="983"/>
    <n v="37"/>
    <n v="102330.05"/>
    <n v="17"/>
    <n v="40560"/>
    <n v="142890.04999999999"/>
  </r>
  <r>
    <x v="984"/>
    <n v="27"/>
    <n v="69711.990000000005"/>
    <n v="31"/>
    <n v="73161.06"/>
    <n v="142873.04999999999"/>
  </r>
  <r>
    <x v="985"/>
    <n v="26"/>
    <n v="68670.789999999994"/>
    <n v="34"/>
    <n v="74183.55"/>
    <n v="142854.34"/>
  </r>
  <r>
    <x v="986"/>
    <n v="24"/>
    <n v="60321.32"/>
    <n v="35"/>
    <n v="82532.990000000005"/>
    <n v="142854.31"/>
  </r>
  <r>
    <x v="987"/>
    <n v="27"/>
    <n v="73917.289999999994"/>
    <n v="26"/>
    <n v="68929.33"/>
    <n v="142846.62"/>
  </r>
  <r>
    <x v="988"/>
    <n v="26"/>
    <n v="68414.92"/>
    <n v="34"/>
    <n v="74317.95"/>
    <n v="142732.87"/>
  </r>
  <r>
    <x v="989"/>
    <n v="36"/>
    <n v="96496.85"/>
    <n v="24"/>
    <n v="46214.5"/>
    <n v="142711.35"/>
  </r>
  <r>
    <x v="990"/>
    <n v="29"/>
    <n v="69999.73"/>
    <n v="34"/>
    <n v="72684.990000000005"/>
    <n v="142684.72"/>
  </r>
  <r>
    <x v="991"/>
    <n v="25"/>
    <n v="64699.88"/>
    <n v="30"/>
    <n v="77969.570000000007"/>
    <n v="142669.45000000001"/>
  </r>
  <r>
    <x v="992"/>
    <n v="25"/>
    <n v="65644.62"/>
    <n v="28"/>
    <n v="76961.350000000006"/>
    <n v="142605.97"/>
  </r>
  <r>
    <x v="993"/>
    <n v="33"/>
    <n v="74289.73"/>
    <n v="26"/>
    <n v="68111.17"/>
    <n v="142400.9"/>
  </r>
  <r>
    <x v="994"/>
    <n v="27"/>
    <n v="72296.350000000006"/>
    <n v="28"/>
    <n v="70049.2"/>
    <n v="142345.54999999999"/>
  </r>
  <r>
    <x v="995"/>
    <n v="28"/>
    <n v="73097.070000000007"/>
    <n v="28"/>
    <n v="69241.45"/>
    <n v="142338.51999999999"/>
  </r>
  <r>
    <x v="996"/>
    <n v="27"/>
    <n v="62459.23"/>
    <n v="29"/>
    <n v="79868.639999999999"/>
    <n v="142327.87"/>
  </r>
  <r>
    <x v="997"/>
    <n v="30"/>
    <n v="70966.39"/>
    <n v="29"/>
    <n v="71341.05"/>
    <n v="142307.44"/>
  </r>
  <r>
    <x v="998"/>
    <n v="31"/>
    <n v="75540.31"/>
    <n v="24"/>
    <n v="66752.679999999993"/>
    <n v="142292.99"/>
  </r>
  <r>
    <x v="999"/>
    <n v="27"/>
    <n v="73174.14"/>
    <n v="26"/>
    <n v="69107.399999999994"/>
    <n v="142281.53999999899"/>
  </r>
  <r>
    <x v="1000"/>
    <n v="25"/>
    <n v="76555.570000000007"/>
    <n v="33"/>
    <n v="65680.77"/>
    <n v="142236.34"/>
  </r>
  <r>
    <x v="1001"/>
    <n v="27"/>
    <n v="57854.26"/>
    <n v="31"/>
    <n v="84371.29"/>
    <n v="142225.54999999999"/>
  </r>
  <r>
    <x v="1002"/>
    <n v="27"/>
    <n v="72225.289999999994"/>
    <n v="31"/>
    <n v="69999.59"/>
    <n v="142224.88"/>
  </r>
  <r>
    <x v="1003"/>
    <n v="26"/>
    <n v="61483.35"/>
    <n v="35"/>
    <n v="80737.320000000007"/>
    <n v="142220.67000000001"/>
  </r>
  <r>
    <x v="1004"/>
    <n v="29"/>
    <n v="54423.48"/>
    <n v="33"/>
    <n v="87756.67"/>
    <n v="142180.15"/>
  </r>
  <r>
    <x v="1005"/>
    <n v="27"/>
    <n v="78545.55"/>
    <n v="31"/>
    <n v="63573.91"/>
    <n v="142119.46"/>
  </r>
  <r>
    <x v="1006"/>
    <n v="25"/>
    <n v="68735.41"/>
    <n v="29"/>
    <n v="73363.86"/>
    <n v="142099.26999999999"/>
  </r>
  <r>
    <x v="1007"/>
    <n v="28"/>
    <n v="69110.83"/>
    <n v="32"/>
    <n v="72738.679999999993"/>
    <n v="141849.51"/>
  </r>
  <r>
    <x v="1008"/>
    <n v="28"/>
    <n v="63593.98"/>
    <n v="34"/>
    <n v="78242.77"/>
    <n v="141836.75"/>
  </r>
  <r>
    <x v="1009"/>
    <n v="20"/>
    <n v="50315.51"/>
    <n v="35"/>
    <n v="91483.39"/>
    <n v="141798.9"/>
  </r>
  <r>
    <x v="1010"/>
    <n v="20"/>
    <n v="51142.39"/>
    <n v="32"/>
    <n v="90635.51"/>
    <n v="141777.9"/>
  </r>
  <r>
    <x v="1011"/>
    <n v="30"/>
    <n v="83350.850000000006"/>
    <n v="21"/>
    <n v="58413.1"/>
    <n v="141763.95000000001"/>
  </r>
  <r>
    <x v="1012"/>
    <n v="27"/>
    <n v="57962.76"/>
    <n v="30"/>
    <n v="83799.33"/>
    <n v="141762.09"/>
  </r>
  <r>
    <x v="1013"/>
    <n v="28"/>
    <n v="72197.19"/>
    <n v="33"/>
    <n v="69554.720000000001"/>
    <n v="141751.91"/>
  </r>
  <r>
    <x v="1014"/>
    <n v="36"/>
    <n v="87685.47"/>
    <n v="21"/>
    <n v="54049.85"/>
    <n v="141735.32"/>
  </r>
  <r>
    <x v="1015"/>
    <n v="27"/>
    <n v="69633.67"/>
    <n v="34"/>
    <n v="72082.87"/>
    <n v="141716.53999999899"/>
  </r>
  <r>
    <x v="1016"/>
    <n v="30"/>
    <n v="61897.34"/>
    <n v="30"/>
    <n v="79800.45"/>
    <n v="141697.78999999899"/>
  </r>
  <r>
    <x v="1017"/>
    <n v="32"/>
    <n v="67432.33"/>
    <n v="34"/>
    <n v="74236.649999999994"/>
    <n v="141668.97999999899"/>
  </r>
  <r>
    <x v="1018"/>
    <n v="28"/>
    <n v="62774.92"/>
    <n v="31"/>
    <n v="78865.440000000002"/>
    <n v="141640.35999999999"/>
  </r>
  <r>
    <x v="1019"/>
    <n v="33"/>
    <n v="69580.81"/>
    <n v="29"/>
    <n v="72047.350000000006"/>
    <n v="141628.16"/>
  </r>
  <r>
    <x v="1020"/>
    <n v="25"/>
    <n v="62385.15"/>
    <n v="25"/>
    <n v="79234.95"/>
    <n v="141620.1"/>
  </r>
  <r>
    <x v="1021"/>
    <n v="24"/>
    <n v="58582.97"/>
    <n v="39"/>
    <n v="82976.33"/>
    <n v="141559.29999999999"/>
  </r>
  <r>
    <x v="1022"/>
    <n v="27"/>
    <n v="72916.58"/>
    <n v="29"/>
    <n v="68624.63"/>
    <n v="141541.21"/>
  </r>
  <r>
    <x v="1023"/>
    <n v="34"/>
    <n v="79758.2"/>
    <n v="27"/>
    <n v="61727.16"/>
    <n v="141485.35999999999"/>
  </r>
  <r>
    <x v="1024"/>
    <n v="28"/>
    <n v="66808.789999999994"/>
    <n v="28"/>
    <n v="74655.61"/>
    <n v="141464.4"/>
  </r>
  <r>
    <x v="1025"/>
    <n v="28"/>
    <n v="61864.69"/>
    <n v="29"/>
    <n v="79585.75"/>
    <n v="141450.44"/>
  </r>
  <r>
    <x v="1026"/>
    <n v="23"/>
    <n v="52717.32"/>
    <n v="34"/>
    <n v="88686.11"/>
    <n v="141403.43"/>
  </r>
  <r>
    <x v="1027"/>
    <n v="32"/>
    <n v="80049.929999999993"/>
    <n v="25"/>
    <n v="61300.92"/>
    <n v="141350.84999999899"/>
  </r>
  <r>
    <x v="1028"/>
    <n v="28"/>
    <n v="69043.600000000006"/>
    <n v="32"/>
    <n v="72272.740000000005"/>
    <n v="141316.34"/>
  </r>
  <r>
    <x v="1029"/>
    <n v="22"/>
    <n v="52733.37"/>
    <n v="33"/>
    <n v="88519.039999999994"/>
    <n v="141252.41"/>
  </r>
  <r>
    <x v="1030"/>
    <n v="34"/>
    <n v="82488.63"/>
    <n v="30"/>
    <n v="58754.45"/>
    <n v="141243.07999999999"/>
  </r>
  <r>
    <x v="1031"/>
    <n v="25"/>
    <n v="61797.98"/>
    <n v="29"/>
    <n v="79372.2"/>
    <n v="141170.18"/>
  </r>
  <r>
    <x v="1032"/>
    <n v="31"/>
    <n v="87913.32"/>
    <n v="22"/>
    <n v="53250.93"/>
    <n v="141164.25"/>
  </r>
  <r>
    <x v="1033"/>
    <n v="28"/>
    <n v="63059.360000000001"/>
    <n v="28"/>
    <n v="78016.56"/>
    <n v="141075.91999999899"/>
  </r>
  <r>
    <x v="1034"/>
    <n v="26"/>
    <n v="55415.67"/>
    <n v="33"/>
    <n v="85658.86"/>
    <n v="141074.53"/>
  </r>
  <r>
    <x v="1035"/>
    <n v="30"/>
    <n v="73362.080000000002"/>
    <n v="34"/>
    <n v="67645.399999999994"/>
    <n v="141007.47999999899"/>
  </r>
  <r>
    <x v="1036"/>
    <n v="35"/>
    <n v="87707.75"/>
    <n v="23"/>
    <n v="53288.49"/>
    <n v="140996.24"/>
  </r>
  <r>
    <x v="1037"/>
    <n v="31"/>
    <n v="84131.85"/>
    <n v="27"/>
    <n v="56821.46"/>
    <n v="140953.31"/>
  </r>
  <r>
    <x v="1038"/>
    <n v="25"/>
    <n v="64008.11"/>
    <n v="29"/>
    <n v="76921.210000000006"/>
    <n v="140929.32"/>
  </r>
  <r>
    <x v="1039"/>
    <n v="28"/>
    <n v="69435.649999999994"/>
    <n v="29"/>
    <n v="71450.820000000007"/>
    <n v="140886.47"/>
  </r>
  <r>
    <x v="1040"/>
    <n v="35"/>
    <n v="76026.850000000006"/>
    <n v="29"/>
    <n v="64829.41"/>
    <n v="140856.26"/>
  </r>
  <r>
    <x v="1041"/>
    <n v="28"/>
    <n v="63552.07"/>
    <n v="26"/>
    <n v="77299.22"/>
    <n v="140851.29"/>
  </r>
  <r>
    <x v="1042"/>
    <n v="27"/>
    <n v="65810.820000000007"/>
    <n v="27"/>
    <n v="75032.289999999994"/>
    <n v="140843.10999999999"/>
  </r>
  <r>
    <x v="1043"/>
    <n v="31"/>
    <n v="74422.350000000006"/>
    <n v="25"/>
    <n v="66415.960000000006"/>
    <n v="140838.31"/>
  </r>
  <r>
    <x v="1044"/>
    <n v="25"/>
    <n v="70579.09"/>
    <n v="33"/>
    <n v="70203.570000000007"/>
    <n v="140782.66"/>
  </r>
  <r>
    <x v="1045"/>
    <n v="28"/>
    <n v="84908.1"/>
    <n v="20"/>
    <n v="55867.24"/>
    <n v="140775.34"/>
  </r>
  <r>
    <x v="1046"/>
    <n v="30"/>
    <n v="70773.600000000006"/>
    <n v="27"/>
    <n v="69999.94"/>
    <n v="140773.54"/>
  </r>
  <r>
    <x v="1047"/>
    <n v="34"/>
    <n v="82399.679999999993"/>
    <n v="21"/>
    <n v="58356.4"/>
    <n v="140756.07999999999"/>
  </r>
  <r>
    <x v="1048"/>
    <n v="31"/>
    <n v="79720.509999999995"/>
    <n v="24"/>
    <n v="60990.06"/>
    <n v="140710.57"/>
  </r>
  <r>
    <x v="1049"/>
    <n v="28"/>
    <n v="71594.69"/>
    <n v="25"/>
    <n v="69096.899999999994"/>
    <n v="140691.59"/>
  </r>
  <r>
    <x v="1050"/>
    <n v="27"/>
    <n v="61117.13"/>
    <n v="25"/>
    <n v="79519.69"/>
    <n v="140636.82"/>
  </r>
  <r>
    <x v="1051"/>
    <n v="30"/>
    <n v="82398.210000000006"/>
    <n v="23"/>
    <n v="58218.82"/>
    <n v="140617.03"/>
  </r>
  <r>
    <x v="1052"/>
    <n v="30"/>
    <n v="74742"/>
    <n v="26"/>
    <n v="65830.66"/>
    <n v="140572.66"/>
  </r>
  <r>
    <x v="1053"/>
    <n v="26"/>
    <n v="58371.82"/>
    <n v="34"/>
    <n v="82178.97"/>
    <n v="140550.79"/>
  </r>
  <r>
    <x v="1054"/>
    <n v="31"/>
    <n v="80942.899999999994"/>
    <n v="26"/>
    <n v="59607.02"/>
    <n v="140549.91999999899"/>
  </r>
  <r>
    <x v="1055"/>
    <n v="24"/>
    <n v="67007.56"/>
    <n v="26"/>
    <n v="73522.33"/>
    <n v="140529.89000000001"/>
  </r>
  <r>
    <x v="1056"/>
    <n v="30"/>
    <n v="78359.05"/>
    <n v="23"/>
    <n v="62112.07"/>
    <n v="140471.12"/>
  </r>
  <r>
    <x v="1057"/>
    <n v="27"/>
    <n v="66139.649999999994"/>
    <n v="29"/>
    <n v="74330.080000000002"/>
    <n v="140469.72999999899"/>
  </r>
  <r>
    <x v="1058"/>
    <n v="25"/>
    <n v="63941.61"/>
    <n v="33"/>
    <n v="76523.66"/>
    <n v="140465.26999999999"/>
  </r>
  <r>
    <x v="1059"/>
    <n v="28"/>
    <n v="70931.740000000005"/>
    <n v="24"/>
    <n v="69412.56"/>
    <n v="140344.29999999999"/>
  </r>
  <r>
    <x v="1060"/>
    <n v="30"/>
    <n v="68546.149999999994"/>
    <n v="31"/>
    <n v="71690.42"/>
    <n v="140236.57"/>
  </r>
  <r>
    <x v="1061"/>
    <n v="28"/>
    <n v="58575.14"/>
    <n v="27"/>
    <n v="81504.69"/>
    <n v="140079.82999999999"/>
  </r>
  <r>
    <x v="1062"/>
    <n v="31"/>
    <n v="64457.31"/>
    <n v="26"/>
    <n v="75564.13"/>
    <n v="140021.44"/>
  </r>
  <r>
    <x v="1063"/>
    <n v="22"/>
    <n v="53945.69"/>
    <n v="33"/>
    <n v="86050.14"/>
    <n v="139995.82999999999"/>
  </r>
  <r>
    <x v="1064"/>
    <n v="25"/>
    <n v="74112.039999999994"/>
    <n v="26"/>
    <n v="65857.440000000002"/>
    <n v="139969.47999999899"/>
  </r>
  <r>
    <x v="1065"/>
    <n v="21"/>
    <n v="45136.29"/>
    <n v="36"/>
    <n v="94783.3"/>
    <n v="139919.59"/>
  </r>
  <r>
    <x v="1066"/>
    <n v="26"/>
    <n v="66981.850000000006"/>
    <n v="30"/>
    <n v="72922.03"/>
    <n v="139903.88"/>
  </r>
  <r>
    <x v="1067"/>
    <n v="28"/>
    <n v="60467.73"/>
    <n v="30"/>
    <n v="79362.720000000001"/>
    <n v="139830.45000000001"/>
  </r>
  <r>
    <x v="1068"/>
    <n v="25"/>
    <n v="60250.32"/>
    <n v="35"/>
    <n v="79524.67"/>
    <n v="139774.99"/>
  </r>
  <r>
    <x v="1069"/>
    <n v="30"/>
    <n v="62768.800000000003"/>
    <n v="29"/>
    <n v="76951.350000000006"/>
    <n v="139720.15"/>
  </r>
  <r>
    <x v="1070"/>
    <n v="32"/>
    <n v="84535.44"/>
    <n v="22"/>
    <n v="55156.91"/>
    <n v="139692.35"/>
  </r>
  <r>
    <x v="1071"/>
    <n v="27"/>
    <n v="68170.52"/>
    <n v="30"/>
    <n v="71521.09"/>
    <n v="139691.60999999999"/>
  </r>
  <r>
    <x v="1072"/>
    <n v="31"/>
    <n v="79692.77"/>
    <n v="25"/>
    <n v="59982.080000000002"/>
    <n v="139674.85"/>
  </r>
  <r>
    <x v="1073"/>
    <n v="29"/>
    <n v="64940.33"/>
    <n v="33"/>
    <n v="74633.100000000006"/>
    <n v="139573.43"/>
  </r>
  <r>
    <x v="1074"/>
    <n v="23"/>
    <n v="60789.16"/>
    <n v="28"/>
    <n v="78755.990000000005"/>
    <n v="139545.15"/>
  </r>
  <r>
    <x v="1075"/>
    <n v="29"/>
    <n v="59980.4"/>
    <n v="35"/>
    <n v="79522.45"/>
    <n v="139502.85"/>
  </r>
  <r>
    <x v="1076"/>
    <n v="31"/>
    <n v="84088.86"/>
    <n v="27"/>
    <n v="55402.47"/>
    <n v="139491.32999999999"/>
  </r>
  <r>
    <x v="1077"/>
    <n v="25"/>
    <n v="61498.19"/>
    <n v="32"/>
    <n v="77935.02"/>
    <n v="139433.21"/>
  </r>
  <r>
    <x v="1078"/>
    <n v="27"/>
    <n v="65458.61"/>
    <n v="26"/>
    <n v="73953.61"/>
    <n v="139412.22"/>
  </r>
  <r>
    <x v="1079"/>
    <n v="27"/>
    <n v="70337.3"/>
    <n v="24"/>
    <n v="68965.36"/>
    <n v="139302.66"/>
  </r>
  <r>
    <x v="1080"/>
    <n v="29"/>
    <n v="66774.03"/>
    <n v="28"/>
    <n v="72523.56"/>
    <n v="139297.59"/>
  </r>
  <r>
    <x v="1081"/>
    <n v="30"/>
    <n v="79255.59"/>
    <n v="23"/>
    <n v="60037.02"/>
    <n v="139292.60999999999"/>
  </r>
  <r>
    <x v="1082"/>
    <n v="30"/>
    <n v="53017.32"/>
    <n v="32"/>
    <n v="86210.74"/>
    <n v="139228.06"/>
  </r>
  <r>
    <x v="1083"/>
    <n v="32"/>
    <n v="73006.509999999995"/>
    <n v="27"/>
    <n v="66204.009999999995"/>
    <n v="139210.51999999999"/>
  </r>
  <r>
    <x v="1084"/>
    <n v="29"/>
    <n v="79663.429999999993"/>
    <n v="29"/>
    <n v="59534.02"/>
    <n v="139197.44999999899"/>
  </r>
  <r>
    <x v="1085"/>
    <n v="27"/>
    <n v="67870.12"/>
    <n v="26"/>
    <n v="71297.16"/>
    <n v="139167.28"/>
  </r>
  <r>
    <x v="1086"/>
    <n v="28"/>
    <n v="67044.899999999994"/>
    <n v="29"/>
    <n v="72069.2"/>
    <n v="139114.09999999899"/>
  </r>
  <r>
    <x v="1087"/>
    <n v="27"/>
    <n v="64546.47"/>
    <n v="30"/>
    <n v="74565.210000000006"/>
    <n v="139111.67999999999"/>
  </r>
  <r>
    <x v="1088"/>
    <n v="31"/>
    <n v="78170.28"/>
    <n v="20"/>
    <n v="60924.89"/>
    <n v="139095.16999999899"/>
  </r>
  <r>
    <x v="1089"/>
    <n v="33"/>
    <n v="77355.33"/>
    <n v="23"/>
    <n v="61671.17"/>
    <n v="139026.5"/>
  </r>
  <r>
    <x v="1090"/>
    <n v="30"/>
    <n v="70792.73"/>
    <n v="27"/>
    <n v="68188.05"/>
    <n v="138980.78"/>
  </r>
  <r>
    <x v="1091"/>
    <n v="27"/>
    <n v="62027.88"/>
    <n v="33"/>
    <n v="76921.570000000007"/>
    <n v="138949.45000000001"/>
  </r>
  <r>
    <x v="1092"/>
    <n v="32"/>
    <n v="78630.91"/>
    <n v="25"/>
    <n v="60304.99"/>
    <n v="138935.9"/>
  </r>
  <r>
    <x v="1093"/>
    <n v="24"/>
    <n v="53118.34"/>
    <n v="31"/>
    <n v="85711.11"/>
    <n v="138829.45000000001"/>
  </r>
  <r>
    <x v="1094"/>
    <n v="37"/>
    <n v="85338.87"/>
    <n v="19"/>
    <n v="53477.69"/>
    <n v="138816.56"/>
  </r>
  <r>
    <x v="1095"/>
    <n v="25"/>
    <n v="63603.25"/>
    <n v="28"/>
    <n v="75118.080000000002"/>
    <n v="138721.32999999999"/>
  </r>
  <r>
    <x v="1096"/>
    <n v="24"/>
    <n v="65700.179999999993"/>
    <n v="26"/>
    <n v="72999.320000000007"/>
    <n v="138699.5"/>
  </r>
  <r>
    <x v="1097"/>
    <n v="36"/>
    <n v="81555.78"/>
    <n v="25"/>
    <n v="57063.38"/>
    <n v="138619.16"/>
  </r>
  <r>
    <x v="1098"/>
    <n v="32"/>
    <n v="73964.36"/>
    <n v="22"/>
    <n v="64611.32"/>
    <n v="138575.67999999999"/>
  </r>
  <r>
    <x v="1099"/>
    <n v="31"/>
    <n v="77548.22"/>
    <n v="24"/>
    <n v="60931.14"/>
    <n v="138479.35999999999"/>
  </r>
  <r>
    <x v="1100"/>
    <n v="23"/>
    <n v="70111.88"/>
    <n v="30"/>
    <n v="68344.320000000007"/>
    <n v="138456.20000000001"/>
  </r>
  <r>
    <x v="1101"/>
    <n v="24"/>
    <n v="57668.78"/>
    <n v="31"/>
    <n v="80779.22"/>
    <n v="138448"/>
  </r>
  <r>
    <x v="1102"/>
    <n v="19"/>
    <n v="49795.69"/>
    <n v="31"/>
    <n v="88650.6"/>
    <n v="138446.29"/>
  </r>
  <r>
    <x v="1103"/>
    <n v="30"/>
    <n v="82785.63"/>
    <n v="21"/>
    <n v="55569.16"/>
    <n v="138354.79"/>
  </r>
  <r>
    <x v="1104"/>
    <n v="32"/>
    <n v="94351.12"/>
    <n v="21"/>
    <n v="43880.03"/>
    <n v="138231.15"/>
  </r>
  <r>
    <x v="1105"/>
    <n v="22"/>
    <n v="60158.57"/>
    <n v="34"/>
    <n v="78030.679999999993"/>
    <n v="138189.25"/>
  </r>
  <r>
    <x v="1106"/>
    <n v="28"/>
    <n v="58138.25"/>
    <n v="29"/>
    <n v="79996.27"/>
    <n v="138134.51999999999"/>
  </r>
  <r>
    <x v="1107"/>
    <n v="27"/>
    <n v="62703.63"/>
    <n v="32"/>
    <n v="75420.02"/>
    <n v="138123.65"/>
  </r>
  <r>
    <x v="1108"/>
    <n v="27"/>
    <n v="55133.89"/>
    <n v="32"/>
    <n v="82970.58"/>
    <n v="138104.47"/>
  </r>
  <r>
    <x v="1109"/>
    <n v="30"/>
    <n v="67191.25"/>
    <n v="28"/>
    <n v="70902.06"/>
    <n v="138093.31"/>
  </r>
  <r>
    <x v="1110"/>
    <n v="29"/>
    <n v="70641.55"/>
    <n v="28"/>
    <n v="67437.16"/>
    <n v="138078.71"/>
  </r>
  <r>
    <x v="1111"/>
    <n v="22"/>
    <n v="60823.78"/>
    <n v="29"/>
    <n v="77247.7"/>
    <n v="138071.47999999899"/>
  </r>
  <r>
    <x v="1112"/>
    <n v="25"/>
    <n v="63936.85"/>
    <n v="32"/>
    <n v="74097.429999999993"/>
    <n v="138034.28"/>
  </r>
  <r>
    <x v="1113"/>
    <n v="21"/>
    <n v="65484.52"/>
    <n v="33"/>
    <n v="72534.77"/>
    <n v="138019.29"/>
  </r>
  <r>
    <x v="1114"/>
    <n v="31"/>
    <n v="76568.649999999994"/>
    <n v="24"/>
    <n v="61435.15"/>
    <n v="138003.79999999999"/>
  </r>
  <r>
    <x v="1115"/>
    <n v="31"/>
    <n v="76580.31"/>
    <n v="24"/>
    <n v="61348.05"/>
    <n v="137928.35999999999"/>
  </r>
  <r>
    <x v="1116"/>
    <n v="21"/>
    <n v="49282.61"/>
    <n v="34"/>
    <n v="88644.01"/>
    <n v="137926.62"/>
  </r>
  <r>
    <x v="1117"/>
    <n v="25"/>
    <n v="63207.360000000001"/>
    <n v="25"/>
    <n v="74685.53"/>
    <n v="137892.89000000001"/>
  </r>
  <r>
    <x v="1118"/>
    <n v="30"/>
    <n v="74709.2"/>
    <n v="24"/>
    <n v="63080.88"/>
    <n v="137790.07999999999"/>
  </r>
  <r>
    <x v="1119"/>
    <n v="32"/>
    <n v="78673.27"/>
    <n v="27"/>
    <n v="59093.08"/>
    <n v="137766.35"/>
  </r>
  <r>
    <x v="1120"/>
    <n v="21"/>
    <n v="47642.28"/>
    <n v="31"/>
    <n v="90106.3"/>
    <n v="137748.57999999999"/>
  </r>
  <r>
    <x v="1121"/>
    <n v="23"/>
    <n v="55628.49"/>
    <n v="34"/>
    <n v="82118.83"/>
    <n v="137747.32"/>
  </r>
  <r>
    <x v="1122"/>
    <n v="31"/>
    <n v="85297.51"/>
    <n v="26"/>
    <n v="52392.19"/>
    <n v="137689.70000000001"/>
  </r>
  <r>
    <x v="1123"/>
    <n v="24"/>
    <n v="62973.89"/>
    <n v="31"/>
    <n v="74707.570000000007"/>
    <n v="137681.46"/>
  </r>
  <r>
    <x v="1124"/>
    <n v="29"/>
    <n v="74549.55"/>
    <n v="24"/>
    <n v="63031.05"/>
    <n v="137580.6"/>
  </r>
  <r>
    <x v="1125"/>
    <n v="28"/>
    <n v="71114.559999999998"/>
    <n v="28"/>
    <n v="66360.02"/>
    <n v="137474.57999999999"/>
  </r>
  <r>
    <x v="1126"/>
    <n v="27"/>
    <n v="73080.11"/>
    <n v="24"/>
    <n v="64381.86"/>
    <n v="137461.97"/>
  </r>
  <r>
    <x v="1127"/>
    <n v="32"/>
    <n v="84803.86"/>
    <n v="22"/>
    <n v="52627.67"/>
    <n v="137431.53"/>
  </r>
  <r>
    <x v="1128"/>
    <n v="32"/>
    <n v="79987.11"/>
    <n v="28"/>
    <n v="57396.88"/>
    <n v="137383.99"/>
  </r>
  <r>
    <x v="1129"/>
    <n v="29"/>
    <n v="77851.56"/>
    <n v="30"/>
    <n v="59480.01"/>
    <n v="137331.57"/>
  </r>
  <r>
    <x v="1130"/>
    <n v="27"/>
    <n v="64423.02"/>
    <n v="30"/>
    <n v="72871.7"/>
    <n v="137294.72"/>
  </r>
  <r>
    <x v="1131"/>
    <n v="33"/>
    <n v="78973.2"/>
    <n v="22"/>
    <n v="58299.77"/>
    <n v="137272.97"/>
  </r>
  <r>
    <x v="1132"/>
    <n v="27"/>
    <n v="67675.55"/>
    <n v="30"/>
    <n v="69595.199999999997"/>
    <n v="137270.75"/>
  </r>
  <r>
    <x v="1133"/>
    <n v="24"/>
    <n v="71017.850000000006"/>
    <n v="27"/>
    <n v="66223.86"/>
    <n v="137241.71"/>
  </r>
  <r>
    <x v="1134"/>
    <n v="23"/>
    <n v="65312.5"/>
    <n v="34"/>
    <n v="71925.039999999994"/>
    <n v="137237.53999999899"/>
  </r>
  <r>
    <x v="1135"/>
    <n v="26"/>
    <n v="45172.09"/>
    <n v="37"/>
    <n v="92045.82"/>
    <n v="137217.91"/>
  </r>
  <r>
    <x v="1136"/>
    <n v="26"/>
    <n v="71414.2"/>
    <n v="27"/>
    <n v="65784.23"/>
    <n v="137198.43"/>
  </r>
  <r>
    <x v="1137"/>
    <n v="21"/>
    <n v="58535.75"/>
    <n v="31"/>
    <n v="78501.64"/>
    <n v="137037.39000000001"/>
  </r>
  <r>
    <x v="1138"/>
    <n v="31"/>
    <n v="74460.350000000006"/>
    <n v="26"/>
    <n v="62576.4"/>
    <n v="137036.75"/>
  </r>
  <r>
    <x v="1139"/>
    <n v="23"/>
    <n v="64206.57"/>
    <n v="31"/>
    <n v="72801.070000000007"/>
    <n v="137007.64000000001"/>
  </r>
  <r>
    <x v="1140"/>
    <n v="33"/>
    <n v="65681"/>
    <n v="26"/>
    <n v="71277.58"/>
    <n v="136958.57999999999"/>
  </r>
  <r>
    <x v="1141"/>
    <n v="25"/>
    <n v="60269.37"/>
    <n v="31"/>
    <n v="76673.429999999993"/>
    <n v="136942.79999999999"/>
  </r>
  <r>
    <x v="1142"/>
    <n v="20"/>
    <n v="65953.7"/>
    <n v="24"/>
    <n v="70952.070000000007"/>
    <n v="136905.76999999999"/>
  </r>
  <r>
    <x v="1143"/>
    <n v="26"/>
    <n v="60789.94"/>
    <n v="30"/>
    <n v="76111.92"/>
    <n v="136901.85999999999"/>
  </r>
  <r>
    <x v="1144"/>
    <n v="28"/>
    <n v="64983.67"/>
    <n v="28"/>
    <n v="71808.710000000006"/>
    <n v="136792.38"/>
  </r>
  <r>
    <x v="1145"/>
    <n v="34"/>
    <n v="74649.55"/>
    <n v="31"/>
    <n v="62130.09"/>
    <n v="136779.64000000001"/>
  </r>
  <r>
    <x v="1146"/>
    <n v="24"/>
    <n v="60956.21"/>
    <n v="31"/>
    <n v="75761.11"/>
    <n v="136717.32"/>
  </r>
  <r>
    <x v="1147"/>
    <n v="25"/>
    <n v="59494"/>
    <n v="29"/>
    <n v="77218.77"/>
    <n v="136712.76999999999"/>
  </r>
  <r>
    <x v="1148"/>
    <n v="31"/>
    <n v="83981.8"/>
    <n v="21"/>
    <n v="52704.51"/>
    <n v="136686.31"/>
  </r>
  <r>
    <x v="1149"/>
    <n v="25"/>
    <n v="64984.2"/>
    <n v="33"/>
    <n v="71685.3"/>
    <n v="136669.5"/>
  </r>
  <r>
    <x v="1150"/>
    <n v="25"/>
    <n v="58490.17"/>
    <n v="28"/>
    <n v="78129.08"/>
    <n v="136619.25"/>
  </r>
  <r>
    <x v="1151"/>
    <n v="35"/>
    <n v="78128.97"/>
    <n v="26"/>
    <n v="58438.29"/>
    <n v="136567.26"/>
  </r>
  <r>
    <x v="1152"/>
    <n v="27"/>
    <n v="61492.18"/>
    <n v="30"/>
    <n v="75060.2"/>
    <n v="136552.38"/>
  </r>
  <r>
    <x v="1153"/>
    <n v="27"/>
    <n v="57073.53"/>
    <n v="32"/>
    <n v="79457.55"/>
    <n v="136531.07999999999"/>
  </r>
  <r>
    <x v="1154"/>
    <n v="26"/>
    <n v="75286.009999999995"/>
    <n v="26"/>
    <n v="61243.29"/>
    <n v="136529.29999999999"/>
  </r>
  <r>
    <x v="1155"/>
    <n v="29"/>
    <n v="63490.52"/>
    <n v="32"/>
    <n v="73011.42"/>
    <n v="136501.94"/>
  </r>
  <r>
    <x v="1156"/>
    <n v="23"/>
    <n v="61214.23"/>
    <n v="30"/>
    <n v="75287.11"/>
    <n v="136501.34"/>
  </r>
  <r>
    <x v="1157"/>
    <n v="27"/>
    <n v="62210.22"/>
    <n v="30"/>
    <n v="74271.66"/>
    <n v="136481.88"/>
  </r>
  <r>
    <x v="1158"/>
    <n v="38"/>
    <n v="76825.25"/>
    <n v="22"/>
    <n v="59635.040000000001"/>
    <n v="136460.29"/>
  </r>
  <r>
    <x v="1159"/>
    <n v="36"/>
    <n v="68988.88"/>
    <n v="28"/>
    <n v="67419.89"/>
    <n v="136408.76999999999"/>
  </r>
  <r>
    <x v="1160"/>
    <n v="27"/>
    <n v="67205.61"/>
    <n v="26"/>
    <n v="69180.05"/>
    <n v="136385.66"/>
  </r>
  <r>
    <x v="1161"/>
    <n v="31"/>
    <n v="83703.399999999994"/>
    <n v="19"/>
    <n v="52626.32"/>
    <n v="136329.72"/>
  </r>
  <r>
    <x v="1162"/>
    <n v="27"/>
    <n v="68392.86"/>
    <n v="26"/>
    <n v="67923.92"/>
    <n v="136316.78"/>
  </r>
  <r>
    <x v="1163"/>
    <n v="27"/>
    <n v="54972.88"/>
    <n v="38"/>
    <n v="81206.509999999995"/>
    <n v="136179.389999999"/>
  </r>
  <r>
    <x v="1164"/>
    <n v="25"/>
    <n v="72157.86"/>
    <n v="28"/>
    <n v="63965.49"/>
    <n v="136123.35"/>
  </r>
  <r>
    <x v="1165"/>
    <n v="23"/>
    <n v="60055.23"/>
    <n v="31"/>
    <n v="75997.179999999993"/>
    <n v="136052.41"/>
  </r>
  <r>
    <x v="1166"/>
    <n v="31"/>
    <n v="76001.86"/>
    <n v="26"/>
    <n v="60022.080000000002"/>
    <n v="136023.94"/>
  </r>
  <r>
    <x v="1167"/>
    <n v="28"/>
    <n v="57983.98"/>
    <n v="31"/>
    <n v="78038.61"/>
    <n v="136022.59"/>
  </r>
  <r>
    <x v="1168"/>
    <n v="28"/>
    <n v="83068.14"/>
    <n v="24"/>
    <n v="52925.96"/>
    <n v="135994.1"/>
  </r>
  <r>
    <x v="1169"/>
    <n v="30"/>
    <n v="76444.97"/>
    <n v="20"/>
    <n v="59518.95"/>
    <n v="135963.91999999899"/>
  </r>
  <r>
    <x v="1170"/>
    <n v="23"/>
    <n v="59013.24"/>
    <n v="27"/>
    <n v="76944.47"/>
    <n v="135957.71"/>
  </r>
  <r>
    <x v="1171"/>
    <n v="28"/>
    <n v="61542.17"/>
    <n v="32"/>
    <n v="74391.199999999997"/>
    <n v="135933.37"/>
  </r>
  <r>
    <x v="1172"/>
    <n v="26"/>
    <n v="67434.3"/>
    <n v="26"/>
    <n v="68496.62"/>
    <n v="135930.91999999899"/>
  </r>
  <r>
    <x v="1173"/>
    <n v="23"/>
    <n v="55424.13"/>
    <n v="29"/>
    <n v="80458.820000000007"/>
    <n v="135882.95000000001"/>
  </r>
  <r>
    <x v="1174"/>
    <n v="27"/>
    <n v="64050.67"/>
    <n v="29"/>
    <n v="71825.13"/>
    <n v="135875.79999999999"/>
  </r>
  <r>
    <x v="1175"/>
    <n v="29"/>
    <n v="60110.09"/>
    <n v="29"/>
    <n v="75695.78"/>
    <n v="135805.87"/>
  </r>
  <r>
    <x v="1176"/>
    <n v="26"/>
    <n v="68827.92"/>
    <n v="27"/>
    <n v="66970.92"/>
    <n v="135798.84"/>
  </r>
  <r>
    <x v="1177"/>
    <n v="25"/>
    <n v="57333.54"/>
    <n v="28"/>
    <n v="78464.75"/>
    <n v="135798.29"/>
  </r>
  <r>
    <x v="1178"/>
    <n v="27"/>
    <n v="61894.65"/>
    <n v="28"/>
    <n v="73791.63"/>
    <n v="135686.28"/>
  </r>
  <r>
    <x v="1179"/>
    <n v="31"/>
    <n v="79757.67"/>
    <n v="19"/>
    <n v="55922.07"/>
    <n v="135679.74"/>
  </r>
  <r>
    <x v="1180"/>
    <n v="28"/>
    <n v="67786.83"/>
    <n v="27"/>
    <n v="67876.19"/>
    <n v="135663.01999999999"/>
  </r>
  <r>
    <x v="1181"/>
    <n v="26"/>
    <n v="68359.37"/>
    <n v="30"/>
    <n v="67257.710000000006"/>
    <n v="135617.07999999999"/>
  </r>
  <r>
    <x v="1182"/>
    <n v="27"/>
    <n v="70949.52"/>
    <n v="25"/>
    <n v="64637.41"/>
    <n v="135586.93"/>
  </r>
  <r>
    <x v="1183"/>
    <n v="26"/>
    <n v="62274.239999999998"/>
    <n v="29"/>
    <n v="73232.77"/>
    <n v="135507.01"/>
  </r>
  <r>
    <x v="1184"/>
    <n v="32"/>
    <n v="74069.2"/>
    <n v="28"/>
    <n v="61349.35"/>
    <n v="135418.54999999999"/>
  </r>
  <r>
    <x v="1185"/>
    <n v="29"/>
    <n v="81767.600000000006"/>
    <n v="23"/>
    <n v="53462.29"/>
    <n v="135229.89000000001"/>
  </r>
  <r>
    <x v="1186"/>
    <n v="20"/>
    <n v="59111.12"/>
    <n v="30"/>
    <n v="76118.67"/>
    <n v="135229.79"/>
  </r>
  <r>
    <x v="1187"/>
    <n v="28"/>
    <n v="73310.490000000005"/>
    <n v="23"/>
    <n v="61889.52"/>
    <n v="135200.01"/>
  </r>
  <r>
    <x v="1188"/>
    <n v="25"/>
    <n v="69626.39"/>
    <n v="25"/>
    <n v="65571.5"/>
    <n v="135197.89000000001"/>
  </r>
  <r>
    <x v="1189"/>
    <n v="27"/>
    <n v="67372.67"/>
    <n v="29"/>
    <n v="67798.25"/>
    <n v="135170.91999999899"/>
  </r>
  <r>
    <x v="1190"/>
    <n v="32"/>
    <n v="79989.75"/>
    <n v="24"/>
    <n v="55167.87"/>
    <n v="135157.62"/>
  </r>
  <r>
    <x v="1191"/>
    <n v="22"/>
    <n v="69203.61"/>
    <n v="25"/>
    <n v="65942.98"/>
    <n v="135146.59"/>
  </r>
  <r>
    <x v="1192"/>
    <n v="26"/>
    <n v="60172.51"/>
    <n v="31"/>
    <n v="74967.289999999994"/>
    <n v="135139.79999999999"/>
  </r>
  <r>
    <x v="1193"/>
    <n v="30"/>
    <n v="67003.86"/>
    <n v="29"/>
    <n v="68116.94"/>
    <n v="135120.79999999999"/>
  </r>
  <r>
    <x v="1194"/>
    <n v="26"/>
    <n v="57016.480000000003"/>
    <n v="30"/>
    <n v="78094.73"/>
    <n v="135111.21"/>
  </r>
  <r>
    <x v="1195"/>
    <n v="26"/>
    <n v="65062.73"/>
    <n v="26"/>
    <n v="69934.53"/>
    <n v="134997.26"/>
  </r>
  <r>
    <x v="1196"/>
    <n v="32"/>
    <n v="71908.56"/>
    <n v="24"/>
    <n v="63072.58"/>
    <n v="134981.14000000001"/>
  </r>
  <r>
    <x v="1197"/>
    <n v="27"/>
    <n v="74099.98"/>
    <n v="27"/>
    <n v="60876.639999999999"/>
    <n v="134976.62"/>
  </r>
  <r>
    <x v="1198"/>
    <n v="30"/>
    <n v="56188.57"/>
    <n v="37"/>
    <n v="78761.09"/>
    <n v="134949.66"/>
  </r>
  <r>
    <x v="1199"/>
    <n v="26"/>
    <n v="56324.480000000003"/>
    <n v="30"/>
    <n v="78540.850000000006"/>
    <n v="134865.32999999999"/>
  </r>
  <r>
    <x v="1200"/>
    <n v="28"/>
    <n v="45242.39"/>
    <n v="37"/>
    <n v="89584.36"/>
    <n v="134826.75"/>
  </r>
  <r>
    <x v="1201"/>
    <n v="24"/>
    <n v="65860.789999999994"/>
    <n v="31"/>
    <n v="68959.63"/>
    <n v="134820.41999999899"/>
  </r>
  <r>
    <x v="1202"/>
    <n v="25"/>
    <n v="60956.77"/>
    <n v="32"/>
    <n v="73856.19"/>
    <n v="134812.96"/>
  </r>
  <r>
    <x v="1203"/>
    <n v="34"/>
    <n v="80934.98"/>
    <n v="25"/>
    <n v="53876.41"/>
    <n v="134811.39000000001"/>
  </r>
  <r>
    <x v="1204"/>
    <n v="29"/>
    <n v="73409.759999999995"/>
    <n v="27"/>
    <n v="61395.94"/>
    <n v="134805.70000000001"/>
  </r>
  <r>
    <x v="1205"/>
    <n v="30"/>
    <n v="69571.67"/>
    <n v="27"/>
    <n v="65226.57"/>
    <n v="134798.24"/>
  </r>
  <r>
    <x v="1206"/>
    <n v="26"/>
    <n v="67176.399999999994"/>
    <n v="28"/>
    <n v="67602.570000000007"/>
    <n v="134778.97"/>
  </r>
  <r>
    <x v="1207"/>
    <n v="20"/>
    <n v="49660.25"/>
    <n v="27"/>
    <n v="85107.57"/>
    <n v="134767.82"/>
  </r>
  <r>
    <x v="1208"/>
    <n v="29"/>
    <n v="65203.82"/>
    <n v="30"/>
    <n v="69548.38"/>
    <n v="134752.20000000001"/>
  </r>
  <r>
    <x v="1209"/>
    <n v="25"/>
    <n v="58910.14"/>
    <n v="31"/>
    <n v="75723.75"/>
    <n v="134633.89000000001"/>
  </r>
  <r>
    <x v="1210"/>
    <n v="39"/>
    <n v="82414.600000000006"/>
    <n v="23"/>
    <n v="52212.37"/>
    <n v="134626.97"/>
  </r>
  <r>
    <x v="1211"/>
    <n v="32"/>
    <n v="85801.88"/>
    <n v="19"/>
    <n v="48803.75"/>
    <n v="134605.63"/>
  </r>
  <r>
    <x v="1212"/>
    <n v="21"/>
    <n v="64396.93"/>
    <n v="30"/>
    <n v="70198.03"/>
    <n v="134594.96"/>
  </r>
  <r>
    <x v="1213"/>
    <n v="29"/>
    <n v="64936.25"/>
    <n v="33"/>
    <n v="69614.45"/>
    <n v="134550.70000000001"/>
  </r>
  <r>
    <x v="1214"/>
    <n v="36"/>
    <n v="79988.740000000005"/>
    <n v="28"/>
    <n v="54533.94"/>
    <n v="134522.68"/>
  </r>
  <r>
    <x v="1215"/>
    <n v="20"/>
    <n v="48070.64"/>
    <n v="35"/>
    <n v="86444"/>
    <n v="134514.64000000001"/>
  </r>
  <r>
    <x v="1216"/>
    <n v="29"/>
    <n v="60777.74"/>
    <n v="29"/>
    <n v="73654.47"/>
    <n v="134432.21"/>
  </r>
  <r>
    <x v="1217"/>
    <n v="27"/>
    <n v="68727.25"/>
    <n v="23"/>
    <n v="65668.62"/>
    <n v="134395.87"/>
  </r>
  <r>
    <x v="1218"/>
    <n v="21"/>
    <n v="44042.04"/>
    <n v="37"/>
    <n v="90304.6"/>
    <n v="134346.64000000001"/>
  </r>
  <r>
    <x v="1219"/>
    <n v="26"/>
    <n v="72984.03"/>
    <n v="26"/>
    <n v="61335.73"/>
    <n v="134319.76"/>
  </r>
  <r>
    <x v="1220"/>
    <n v="26"/>
    <n v="78738.289999999994"/>
    <n v="25"/>
    <n v="55542.5"/>
    <n v="134280.78999999899"/>
  </r>
  <r>
    <x v="1221"/>
    <n v="28"/>
    <n v="62025.61"/>
    <n v="31"/>
    <n v="72247.259999999995"/>
    <n v="134272.87"/>
  </r>
  <r>
    <x v="1222"/>
    <n v="23"/>
    <n v="46317"/>
    <n v="33"/>
    <n v="87884.29"/>
    <n v="134201.28999999899"/>
  </r>
  <r>
    <x v="1223"/>
    <n v="29"/>
    <n v="71825.070000000007"/>
    <n v="24"/>
    <n v="62367.6"/>
    <n v="134192.67000000001"/>
  </r>
  <r>
    <x v="1224"/>
    <n v="27"/>
    <n v="66933.009999999995"/>
    <n v="28"/>
    <n v="67187.710000000006"/>
    <n v="134120.72"/>
  </r>
  <r>
    <x v="1225"/>
    <n v="22"/>
    <n v="62737.54"/>
    <n v="24"/>
    <n v="71344.62"/>
    <n v="134082.16"/>
  </r>
  <r>
    <x v="1226"/>
    <n v="28"/>
    <n v="68746.34"/>
    <n v="34"/>
    <n v="65334.34"/>
    <n v="134080.68"/>
  </r>
  <r>
    <x v="1227"/>
    <n v="19"/>
    <n v="43147.56"/>
    <n v="32"/>
    <n v="90699.04"/>
    <n v="133846.59999999899"/>
  </r>
  <r>
    <x v="1228"/>
    <n v="30"/>
    <n v="74521.41"/>
    <n v="22"/>
    <n v="59313.83"/>
    <n v="133835.24"/>
  </r>
  <r>
    <x v="1229"/>
    <n v="32"/>
    <n v="77916.17"/>
    <n v="25"/>
    <n v="55886.16"/>
    <n v="133802.32999999999"/>
  </r>
  <r>
    <x v="1230"/>
    <n v="33"/>
    <n v="74309.39"/>
    <n v="23"/>
    <n v="59470.64"/>
    <n v="133780.03"/>
  </r>
  <r>
    <x v="1231"/>
    <n v="25"/>
    <n v="51503.59"/>
    <n v="32"/>
    <n v="82198.259999999995"/>
    <n v="133701.84999999899"/>
  </r>
  <r>
    <x v="1232"/>
    <n v="20"/>
    <n v="52449.279999999999"/>
    <n v="32"/>
    <n v="81172.52"/>
    <n v="133621.79999999999"/>
  </r>
  <r>
    <x v="1233"/>
    <n v="24"/>
    <n v="58870.29"/>
    <n v="34"/>
    <n v="74728.06"/>
    <n v="133598.35"/>
  </r>
  <r>
    <x v="1234"/>
    <n v="35"/>
    <n v="68974.66"/>
    <n v="24"/>
    <n v="64623.64"/>
    <n v="133598.29999999999"/>
  </r>
  <r>
    <x v="1235"/>
    <n v="30"/>
    <n v="65856.070000000007"/>
    <n v="31"/>
    <n v="67734.28"/>
    <n v="133590.35"/>
  </r>
  <r>
    <x v="1236"/>
    <n v="31"/>
    <n v="67526.710000000006"/>
    <n v="28"/>
    <n v="65989.25"/>
    <n v="133515.96"/>
  </r>
  <r>
    <x v="1237"/>
    <n v="32"/>
    <n v="79163.88"/>
    <n v="25"/>
    <n v="54304.97"/>
    <n v="133468.85"/>
  </r>
  <r>
    <x v="1238"/>
    <n v="29"/>
    <n v="68498.320000000007"/>
    <n v="29"/>
    <n v="64817.63"/>
    <n v="133315.95000000001"/>
  </r>
  <r>
    <x v="1239"/>
    <n v="33"/>
    <n v="92686.11"/>
    <n v="17"/>
    <n v="40628.370000000003"/>
    <n v="133314.48000000001"/>
  </r>
  <r>
    <x v="1240"/>
    <n v="34"/>
    <n v="77147.59"/>
    <n v="25"/>
    <n v="56132.86"/>
    <n v="133280.45000000001"/>
  </r>
  <r>
    <x v="1241"/>
    <n v="28"/>
    <n v="62028.73"/>
    <n v="31"/>
    <n v="71227.39"/>
    <n v="133256.12"/>
  </r>
  <r>
    <x v="1242"/>
    <n v="29"/>
    <n v="66505.64"/>
    <n v="28"/>
    <n v="66728.160000000003"/>
    <n v="133233.79999999999"/>
  </r>
  <r>
    <x v="1243"/>
    <n v="30"/>
    <n v="64932.85"/>
    <n v="25"/>
    <n v="68291.78"/>
    <n v="133224.63"/>
  </r>
  <r>
    <x v="1244"/>
    <n v="28"/>
    <n v="70983.47"/>
    <n v="24"/>
    <n v="62174.86"/>
    <n v="133158.32999999999"/>
  </r>
  <r>
    <x v="1245"/>
    <n v="24"/>
    <n v="55171.63"/>
    <n v="31"/>
    <n v="77939.350000000006"/>
    <n v="133110.98000000001"/>
  </r>
  <r>
    <x v="1246"/>
    <n v="33"/>
    <n v="83113.289999999994"/>
    <n v="24"/>
    <n v="49983.199999999997"/>
    <n v="133096.49"/>
  </r>
  <r>
    <x v="1247"/>
    <n v="31"/>
    <n v="80119.8"/>
    <n v="21"/>
    <n v="52974.26"/>
    <n v="133094.06"/>
  </r>
  <r>
    <x v="1248"/>
    <n v="27"/>
    <n v="64562.18"/>
    <n v="36"/>
    <n v="68502.92"/>
    <n v="133065.1"/>
  </r>
  <r>
    <x v="1249"/>
    <n v="26"/>
    <n v="52554.12"/>
    <n v="30"/>
    <n v="80368.350000000006"/>
    <n v="132922.47"/>
  </r>
  <r>
    <x v="1250"/>
    <n v="31"/>
    <n v="66068.479999999996"/>
    <n v="29"/>
    <n v="66846.06"/>
    <n v="132914.53999999899"/>
  </r>
  <r>
    <x v="1251"/>
    <n v="28"/>
    <n v="78321.02"/>
    <n v="23"/>
    <n v="54563.19"/>
    <n v="132884.21"/>
  </r>
  <r>
    <x v="1252"/>
    <n v="25"/>
    <n v="66519.06"/>
    <n v="27"/>
    <n v="66326.19"/>
    <n v="132845.25"/>
  </r>
  <r>
    <x v="1253"/>
    <n v="32"/>
    <n v="73439.009999999995"/>
    <n v="22"/>
    <n v="59367.92"/>
    <n v="132806.93"/>
  </r>
  <r>
    <x v="1254"/>
    <n v="29"/>
    <n v="69757.899999999994"/>
    <n v="25"/>
    <n v="63032.95"/>
    <n v="132790.84999999899"/>
  </r>
  <r>
    <x v="1255"/>
    <n v="25"/>
    <n v="43556.639999999999"/>
    <n v="37"/>
    <n v="89223.06"/>
    <n v="132779.70000000001"/>
  </r>
  <r>
    <x v="1256"/>
    <n v="23"/>
    <n v="52092.25"/>
    <n v="36"/>
    <n v="80661.33"/>
    <n v="132753.57999999999"/>
  </r>
  <r>
    <x v="1257"/>
    <n v="27"/>
    <n v="62070.97"/>
    <n v="28"/>
    <n v="70667.28"/>
    <n v="132738.25"/>
  </r>
  <r>
    <x v="1258"/>
    <n v="30"/>
    <n v="62820.61"/>
    <n v="24"/>
    <n v="69861.100000000006"/>
    <n v="132681.71"/>
  </r>
  <r>
    <x v="1259"/>
    <n v="33"/>
    <n v="79994.02"/>
    <n v="26"/>
    <n v="52662.29"/>
    <n v="132656.31"/>
  </r>
  <r>
    <x v="1260"/>
    <n v="26"/>
    <n v="61316.06"/>
    <n v="31"/>
    <n v="71324.740000000005"/>
    <n v="132640.79999999999"/>
  </r>
  <r>
    <x v="1261"/>
    <n v="25"/>
    <n v="58599.61"/>
    <n v="24"/>
    <n v="74008.399999999994"/>
    <n v="132608.01"/>
  </r>
  <r>
    <x v="1262"/>
    <n v="33"/>
    <n v="83977.18"/>
    <n v="22"/>
    <n v="48619.12"/>
    <n v="132596.29999999999"/>
  </r>
  <r>
    <x v="1263"/>
    <n v="27"/>
    <n v="73188.53"/>
    <n v="27"/>
    <n v="59406.16"/>
    <n v="132594.69"/>
  </r>
  <r>
    <x v="1264"/>
    <n v="26"/>
    <n v="54111.32"/>
    <n v="38"/>
    <n v="78478.720000000001"/>
    <n v="132590.04"/>
  </r>
  <r>
    <x v="1265"/>
    <n v="20"/>
    <n v="55978"/>
    <n v="30"/>
    <n v="76587.63"/>
    <n v="132565.63"/>
  </r>
  <r>
    <x v="1266"/>
    <n v="29"/>
    <n v="85612.53"/>
    <n v="23"/>
    <n v="46931.28"/>
    <n v="132543.81"/>
  </r>
  <r>
    <x v="1267"/>
    <n v="26"/>
    <n v="62429.68"/>
    <n v="30"/>
    <n v="70063.259999999995"/>
    <n v="132492.94"/>
  </r>
  <r>
    <x v="1268"/>
    <n v="28"/>
    <n v="67948.479999999996"/>
    <n v="31"/>
    <n v="64532.22"/>
    <n v="132480.70000000001"/>
  </r>
  <r>
    <x v="1269"/>
    <n v="18"/>
    <n v="52073.4"/>
    <n v="29"/>
    <n v="80388.850000000006"/>
    <n v="132462.25"/>
  </r>
  <r>
    <x v="1270"/>
    <n v="23"/>
    <n v="55327.74"/>
    <n v="32"/>
    <n v="77123.710000000006"/>
    <n v="132451.45000000001"/>
  </r>
  <r>
    <x v="1271"/>
    <n v="31"/>
    <n v="77271.38"/>
    <n v="27"/>
    <n v="54975.14"/>
    <n v="132246.51999999999"/>
  </r>
  <r>
    <x v="1272"/>
    <n v="27"/>
    <n v="69597.39"/>
    <n v="27"/>
    <n v="62615.67"/>
    <n v="132213.06"/>
  </r>
  <r>
    <x v="1273"/>
    <n v="27"/>
    <n v="65893.399999999994"/>
    <n v="30"/>
    <n v="66299.13"/>
    <n v="132192.53"/>
  </r>
  <r>
    <x v="1274"/>
    <n v="30"/>
    <n v="75726.41"/>
    <n v="22"/>
    <n v="56411.06"/>
    <n v="132137.47"/>
  </r>
  <r>
    <x v="1275"/>
    <n v="24"/>
    <n v="54174.57"/>
    <n v="32"/>
    <n v="77929.919999999998"/>
    <n v="132104.49"/>
  </r>
  <r>
    <x v="1276"/>
    <n v="22"/>
    <n v="64152.639999999999"/>
    <n v="29"/>
    <n v="67946.600000000006"/>
    <n v="132099.24"/>
  </r>
  <r>
    <x v="1277"/>
    <n v="31"/>
    <n v="84426.53"/>
    <n v="20"/>
    <n v="47668.66"/>
    <n v="132095.19"/>
  </r>
  <r>
    <x v="1278"/>
    <n v="26"/>
    <n v="59349.69"/>
    <n v="29"/>
    <n v="72742.710000000006"/>
    <n v="132092.4"/>
  </r>
  <r>
    <x v="1279"/>
    <n v="29"/>
    <n v="70529.69"/>
    <n v="23"/>
    <n v="61441.47"/>
    <n v="131971.16"/>
  </r>
  <r>
    <x v="1280"/>
    <n v="27"/>
    <n v="79301.100000000006"/>
    <n v="26"/>
    <n v="52665.07"/>
    <n v="131966.17000000001"/>
  </r>
  <r>
    <x v="1281"/>
    <n v="27"/>
    <n v="70343.25"/>
    <n v="31"/>
    <n v="61602.8"/>
    <n v="131946.04999999999"/>
  </r>
  <r>
    <x v="1282"/>
    <n v="31"/>
    <n v="81339.97"/>
    <n v="18"/>
    <n v="50587.51"/>
    <n v="131927.48000000001"/>
  </r>
  <r>
    <x v="1283"/>
    <n v="30"/>
    <n v="71981.2"/>
    <n v="26"/>
    <n v="59777.32"/>
    <n v="131758.51999999999"/>
  </r>
  <r>
    <x v="1284"/>
    <n v="25"/>
    <n v="62110.19"/>
    <n v="25"/>
    <n v="69643.429999999993"/>
    <n v="131753.62"/>
  </r>
  <r>
    <x v="1285"/>
    <n v="24"/>
    <n v="59813.83"/>
    <n v="31"/>
    <n v="71930.850000000006"/>
    <n v="131744.68"/>
  </r>
  <r>
    <x v="1286"/>
    <n v="30"/>
    <n v="66849.960000000006"/>
    <n v="24"/>
    <n v="64891.38"/>
    <n v="131741.34"/>
  </r>
  <r>
    <x v="1287"/>
    <n v="23"/>
    <n v="60064.07"/>
    <n v="26"/>
    <n v="71652.83"/>
    <n v="131716.9"/>
  </r>
  <r>
    <x v="1288"/>
    <n v="29"/>
    <n v="66315.05"/>
    <n v="27"/>
    <n v="65320.99"/>
    <n v="131636.04"/>
  </r>
  <r>
    <x v="1289"/>
    <n v="25"/>
    <n v="54478.14"/>
    <n v="25"/>
    <n v="77148.58"/>
    <n v="131626.72"/>
  </r>
  <r>
    <x v="1290"/>
    <n v="26"/>
    <n v="67730.929999999993"/>
    <n v="22"/>
    <n v="63651.79"/>
    <n v="131382.72"/>
  </r>
  <r>
    <x v="1291"/>
    <n v="21"/>
    <n v="61472.65"/>
    <n v="25"/>
    <n v="69785.070000000007"/>
    <n v="131257.72"/>
  </r>
  <r>
    <x v="1292"/>
    <n v="24"/>
    <n v="55919.15"/>
    <n v="27"/>
    <n v="75308.78"/>
    <n v="131227.93"/>
  </r>
  <r>
    <x v="1293"/>
    <n v="30"/>
    <n v="81014.039999999994"/>
    <n v="21"/>
    <n v="50212.7"/>
    <n v="131226.74"/>
  </r>
  <r>
    <x v="1294"/>
    <n v="23"/>
    <n v="59682.77"/>
    <n v="28"/>
    <n v="71539.759999999995"/>
    <n v="131222.53"/>
  </r>
  <r>
    <x v="1295"/>
    <n v="32"/>
    <n v="71313"/>
    <n v="28"/>
    <n v="59867.97"/>
    <n v="131180.97"/>
  </r>
  <r>
    <x v="1296"/>
    <n v="30"/>
    <n v="58696.6"/>
    <n v="28"/>
    <n v="72466.28"/>
    <n v="131162.88"/>
  </r>
  <r>
    <x v="1297"/>
    <n v="30"/>
    <n v="62867.83"/>
    <n v="29"/>
    <n v="68261.919999999998"/>
    <n v="131129.75"/>
  </r>
  <r>
    <x v="1298"/>
    <n v="28"/>
    <n v="74745.31"/>
    <n v="27"/>
    <n v="56334.28"/>
    <n v="131079.59"/>
  </r>
  <r>
    <x v="1299"/>
    <n v="19"/>
    <n v="51932.04"/>
    <n v="31"/>
    <n v="79117.84"/>
    <n v="131049.88"/>
  </r>
  <r>
    <x v="1300"/>
    <n v="24"/>
    <n v="66486.710000000006"/>
    <n v="27"/>
    <n v="64531.26"/>
    <n v="131017.97"/>
  </r>
  <r>
    <x v="1301"/>
    <n v="25"/>
    <n v="61345.279999999999"/>
    <n v="30"/>
    <n v="69663.490000000005"/>
    <n v="131008.77"/>
  </r>
  <r>
    <x v="1302"/>
    <n v="28"/>
    <n v="52082.32"/>
    <n v="34"/>
    <n v="78884.960000000006"/>
    <n v="130967.28"/>
  </r>
  <r>
    <x v="1303"/>
    <n v="30"/>
    <n v="76186.95"/>
    <n v="26"/>
    <n v="54773.05"/>
    <n v="130960"/>
  </r>
  <r>
    <x v="1304"/>
    <n v="33"/>
    <n v="82821.91"/>
    <n v="22"/>
    <n v="48063.98"/>
    <n v="130885.89"/>
  </r>
  <r>
    <x v="1305"/>
    <n v="35"/>
    <n v="86976.83"/>
    <n v="24"/>
    <n v="43907.839999999997"/>
    <n v="130884.67"/>
  </r>
  <r>
    <x v="1306"/>
    <n v="25"/>
    <n v="52583.42"/>
    <n v="31"/>
    <n v="78286.080000000002"/>
    <n v="130869.5"/>
  </r>
  <r>
    <x v="1307"/>
    <n v="26"/>
    <n v="65792.31"/>
    <n v="27"/>
    <n v="65075.44"/>
    <n v="130867.75"/>
  </r>
  <r>
    <x v="1308"/>
    <n v="24"/>
    <n v="61679.4"/>
    <n v="30"/>
    <n v="69154.02"/>
    <n v="130833.42"/>
  </r>
  <r>
    <x v="1309"/>
    <n v="22"/>
    <n v="58197.64"/>
    <n v="26"/>
    <n v="72618.61"/>
    <n v="130816.25"/>
  </r>
  <r>
    <x v="1310"/>
    <n v="27"/>
    <n v="72218.89"/>
    <n v="21"/>
    <n v="58562.38"/>
    <n v="130781.269999999"/>
  </r>
  <r>
    <x v="1311"/>
    <n v="25"/>
    <n v="82144.06"/>
    <n v="23"/>
    <n v="48614.559999999998"/>
    <n v="130758.62"/>
  </r>
  <r>
    <x v="1312"/>
    <n v="32"/>
    <n v="70998.210000000006"/>
    <n v="25"/>
    <n v="59732.98"/>
    <n v="130731.19"/>
  </r>
  <r>
    <x v="1313"/>
    <n v="31"/>
    <n v="65083.44"/>
    <n v="32"/>
    <n v="65583.990000000005"/>
    <n v="130667.43"/>
  </r>
  <r>
    <x v="1314"/>
    <n v="39"/>
    <n v="78933.759999999995"/>
    <n v="19"/>
    <n v="51683.92"/>
    <n v="130617.68"/>
  </r>
  <r>
    <x v="1315"/>
    <n v="25"/>
    <n v="61500.57"/>
    <n v="28"/>
    <n v="69114.720000000001"/>
    <n v="130615.29"/>
  </r>
  <r>
    <x v="1316"/>
    <n v="20"/>
    <n v="57297.17"/>
    <n v="30"/>
    <n v="73266.69"/>
    <n v="130563.86"/>
  </r>
  <r>
    <x v="1317"/>
    <n v="21"/>
    <n v="51869.9"/>
    <n v="36"/>
    <n v="78667.89"/>
    <n v="130537.79"/>
  </r>
  <r>
    <x v="1318"/>
    <n v="24"/>
    <n v="61595.68"/>
    <n v="26"/>
    <n v="68844.100000000006"/>
    <n v="130439.78"/>
  </r>
  <r>
    <x v="1319"/>
    <n v="21"/>
    <n v="51953.57"/>
    <n v="36"/>
    <n v="78484.25"/>
    <n v="130437.82"/>
  </r>
  <r>
    <x v="1320"/>
    <n v="30"/>
    <n v="70620.62"/>
    <n v="27"/>
    <n v="59798.22"/>
    <n v="130418.84"/>
  </r>
  <r>
    <x v="1321"/>
    <n v="24"/>
    <n v="65097.16"/>
    <n v="29"/>
    <n v="65312.05"/>
    <n v="130409.21"/>
  </r>
  <r>
    <x v="1322"/>
    <n v="30"/>
    <n v="80509.039999999994"/>
    <n v="21"/>
    <n v="49898.45"/>
    <n v="130407.489999999"/>
  </r>
  <r>
    <x v="1323"/>
    <n v="30"/>
    <n v="81258.78"/>
    <n v="29"/>
    <n v="49112"/>
    <n v="130370.78"/>
  </r>
  <r>
    <x v="1324"/>
    <n v="26"/>
    <n v="60497.63"/>
    <n v="32"/>
    <n v="69857.7"/>
    <n v="130355.329999999"/>
  </r>
  <r>
    <x v="1325"/>
    <n v="33"/>
    <n v="76292.87"/>
    <n v="22"/>
    <n v="54037.97"/>
    <n v="130330.84"/>
  </r>
  <r>
    <x v="1326"/>
    <n v="27"/>
    <n v="72147.520000000004"/>
    <n v="22"/>
    <n v="58095.28"/>
    <n v="130242.8"/>
  </r>
  <r>
    <x v="1327"/>
    <n v="29"/>
    <n v="76882.509999999995"/>
    <n v="22"/>
    <n v="53351.41"/>
    <n v="130233.92"/>
  </r>
  <r>
    <x v="1328"/>
    <n v="35"/>
    <n v="83110.48"/>
    <n v="20"/>
    <n v="47091.15"/>
    <n v="130201.63"/>
  </r>
  <r>
    <x v="1329"/>
    <n v="24"/>
    <n v="61321.51"/>
    <n v="29"/>
    <n v="68876.149999999994"/>
    <n v="130197.66"/>
  </r>
  <r>
    <x v="1330"/>
    <n v="28"/>
    <n v="71846.78"/>
    <n v="26"/>
    <n v="58326.59"/>
    <n v="130173.37"/>
  </r>
  <r>
    <x v="1331"/>
    <n v="25"/>
    <n v="68528.600000000006"/>
    <n v="25"/>
    <n v="61623.01"/>
    <n v="130151.61"/>
  </r>
  <r>
    <x v="1332"/>
    <n v="28"/>
    <n v="71662.28"/>
    <n v="26"/>
    <n v="58422.5"/>
    <n v="130084.78"/>
  </r>
  <r>
    <x v="1333"/>
    <n v="25"/>
    <n v="62988.68"/>
    <n v="24"/>
    <n v="67072.11"/>
    <n v="130060.79"/>
  </r>
  <r>
    <x v="1334"/>
    <n v="30"/>
    <n v="77131.08"/>
    <n v="21"/>
    <n v="52868.17"/>
    <n v="129999.25"/>
  </r>
  <r>
    <x v="1335"/>
    <n v="29"/>
    <n v="55489.78"/>
    <n v="30"/>
    <n v="74353.02"/>
    <n v="129842.8"/>
  </r>
  <r>
    <x v="1336"/>
    <n v="34"/>
    <n v="78439.679999999993"/>
    <n v="25"/>
    <n v="51390.13"/>
    <n v="129829.81"/>
  </r>
  <r>
    <x v="1337"/>
    <n v="31"/>
    <n v="63749.84"/>
    <n v="27"/>
    <n v="65911.520000000004"/>
    <n v="129661.36"/>
  </r>
  <r>
    <x v="1338"/>
    <n v="29"/>
    <n v="53945.13"/>
    <n v="32"/>
    <n v="75636.78"/>
    <n v="129581.91"/>
  </r>
  <r>
    <x v="1339"/>
    <n v="33"/>
    <n v="77439.47"/>
    <n v="25"/>
    <n v="52115.05"/>
    <n v="129554.52"/>
  </r>
  <r>
    <x v="1340"/>
    <n v="24"/>
    <n v="61359.83"/>
    <n v="32"/>
    <n v="68093.33"/>
    <n v="129453.16"/>
  </r>
  <r>
    <x v="1341"/>
    <n v="23"/>
    <n v="47568.35"/>
    <n v="28"/>
    <n v="81846.929999999993"/>
    <n v="129415.28"/>
  </r>
  <r>
    <x v="1342"/>
    <n v="31"/>
    <n v="67183.91"/>
    <n v="27"/>
    <n v="62219.88"/>
    <n v="129403.79"/>
  </r>
  <r>
    <x v="1343"/>
    <n v="21"/>
    <n v="51113.34"/>
    <n v="29"/>
    <n v="77979.64"/>
    <n v="129092.98"/>
  </r>
  <r>
    <x v="1344"/>
    <n v="27"/>
    <n v="81886"/>
    <n v="27"/>
    <n v="47135.07"/>
    <n v="129021.07"/>
  </r>
  <r>
    <x v="1345"/>
    <n v="28"/>
    <n v="73639.710000000006"/>
    <n v="22"/>
    <n v="55353.71"/>
    <n v="128993.42"/>
  </r>
  <r>
    <x v="1346"/>
    <n v="27"/>
    <n v="67984.679999999993"/>
    <n v="23"/>
    <n v="60970.81"/>
    <n v="128955.489999999"/>
  </r>
  <r>
    <x v="1347"/>
    <n v="26"/>
    <n v="62134.62"/>
    <n v="29"/>
    <n v="66807.649999999994"/>
    <n v="128942.269999999"/>
  </r>
  <r>
    <x v="1348"/>
    <n v="19"/>
    <n v="42908.21"/>
    <n v="33"/>
    <n v="86014.64"/>
    <n v="128922.85"/>
  </r>
  <r>
    <x v="1349"/>
    <n v="22"/>
    <n v="67134.16"/>
    <n v="23"/>
    <n v="61775.25"/>
    <n v="128909.41"/>
  </r>
  <r>
    <x v="1350"/>
    <n v="21"/>
    <n v="66496.289999999994"/>
    <n v="24"/>
    <n v="62392.639999999999"/>
    <n v="128888.93"/>
  </r>
  <r>
    <x v="1351"/>
    <n v="29"/>
    <n v="77207.61"/>
    <n v="20"/>
    <n v="51677.55"/>
    <n v="128885.16"/>
  </r>
  <r>
    <x v="1352"/>
    <n v="25"/>
    <n v="64817.440000000002"/>
    <n v="28"/>
    <n v="64059.02"/>
    <n v="128876.459999999"/>
  </r>
  <r>
    <x v="1353"/>
    <n v="23"/>
    <n v="47869.63"/>
    <n v="33"/>
    <n v="80997.11"/>
    <n v="128866.739999999"/>
  </r>
  <r>
    <x v="1354"/>
    <n v="24"/>
    <n v="59290.67"/>
    <n v="30"/>
    <n v="69575.34"/>
    <n v="128866.01"/>
  </r>
  <r>
    <x v="1355"/>
    <n v="35"/>
    <n v="62202.77"/>
    <n v="27"/>
    <n v="66571"/>
    <n v="128773.769999999"/>
  </r>
  <r>
    <x v="1356"/>
    <n v="31"/>
    <n v="60111.17"/>
    <n v="25"/>
    <n v="68657.119999999995"/>
    <n v="128768.29"/>
  </r>
  <r>
    <x v="1357"/>
    <n v="24"/>
    <n v="61821.48"/>
    <n v="25"/>
    <n v="66915.61"/>
    <n v="128737.09"/>
  </r>
  <r>
    <x v="1358"/>
    <n v="22"/>
    <n v="62023.37"/>
    <n v="23"/>
    <n v="66703.3"/>
    <n v="128726.67"/>
  </r>
  <r>
    <x v="1359"/>
    <n v="22"/>
    <n v="59601.02"/>
    <n v="26"/>
    <n v="68977.66"/>
    <n v="128578.68"/>
  </r>
  <r>
    <x v="1360"/>
    <n v="29"/>
    <n v="62941.91"/>
    <n v="26"/>
    <n v="65601.119999999995"/>
    <n v="128543.03"/>
  </r>
  <r>
    <x v="1361"/>
    <n v="30"/>
    <n v="76790.36"/>
    <n v="21"/>
    <n v="51740.95"/>
    <n v="128531.31"/>
  </r>
  <r>
    <x v="1362"/>
    <n v="19"/>
    <n v="46298.84"/>
    <n v="37"/>
    <n v="82231.39"/>
    <n v="128530.23"/>
  </r>
  <r>
    <x v="1363"/>
    <n v="24"/>
    <n v="63750.82"/>
    <n v="29"/>
    <n v="64734.879999999997"/>
    <n v="128485.7"/>
  </r>
  <r>
    <x v="1364"/>
    <n v="22"/>
    <n v="60661.74"/>
    <n v="28"/>
    <n v="67800.11"/>
    <n v="128461.85"/>
  </r>
  <r>
    <x v="1365"/>
    <n v="25"/>
    <n v="59437.55"/>
    <n v="28"/>
    <n v="68955.62"/>
    <n v="128393.17"/>
  </r>
  <r>
    <x v="1366"/>
    <n v="23"/>
    <n v="46560"/>
    <n v="32"/>
    <n v="81768.3"/>
    <n v="128328.3"/>
  </r>
  <r>
    <x v="1367"/>
    <n v="33"/>
    <n v="72725.16"/>
    <n v="30"/>
    <n v="55575.11"/>
    <n v="128300.27"/>
  </r>
  <r>
    <x v="1368"/>
    <n v="27"/>
    <n v="70157.45"/>
    <n v="22"/>
    <n v="58130.34"/>
    <n v="128287.79"/>
  </r>
  <r>
    <x v="1369"/>
    <n v="33"/>
    <n v="73252.460000000006"/>
    <n v="20"/>
    <n v="55002.75"/>
    <n v="128255.21"/>
  </r>
  <r>
    <x v="1370"/>
    <n v="26"/>
    <n v="67671.289999999994"/>
    <n v="26"/>
    <n v="60547.93"/>
    <n v="128219.22"/>
  </r>
  <r>
    <x v="1371"/>
    <n v="23"/>
    <n v="53725.99"/>
    <n v="30"/>
    <n v="74478.42"/>
    <n v="128204.41"/>
  </r>
  <r>
    <x v="1372"/>
    <n v="34"/>
    <n v="77160.11"/>
    <n v="22"/>
    <n v="51001.96"/>
    <n v="128162.07"/>
  </r>
  <r>
    <x v="1373"/>
    <n v="23"/>
    <n v="47610.080000000002"/>
    <n v="30"/>
    <n v="80518.06"/>
    <n v="128128.14"/>
  </r>
  <r>
    <x v="1374"/>
    <n v="22"/>
    <n v="55495.48"/>
    <n v="27"/>
    <n v="72494.47"/>
    <n v="127989.95"/>
  </r>
  <r>
    <x v="1375"/>
    <n v="26"/>
    <n v="56971.32"/>
    <n v="29"/>
    <n v="71014.509999999995"/>
    <n v="127985.829999999"/>
  </r>
  <r>
    <x v="1376"/>
    <n v="26"/>
    <n v="60725.51"/>
    <n v="28"/>
    <n v="66991.899999999994"/>
    <n v="127717.41"/>
  </r>
  <r>
    <x v="1377"/>
    <n v="25"/>
    <n v="53352.7"/>
    <n v="31"/>
    <n v="74278.429999999993"/>
    <n v="127631.129999999"/>
  </r>
  <r>
    <x v="1378"/>
    <n v="23"/>
    <n v="68685.78"/>
    <n v="24"/>
    <n v="58920.959999999999"/>
    <n v="127606.739999999"/>
  </r>
  <r>
    <x v="1379"/>
    <n v="28"/>
    <n v="73187.19"/>
    <n v="24"/>
    <n v="54396.67"/>
    <n v="127583.86"/>
  </r>
  <r>
    <x v="1380"/>
    <n v="25"/>
    <n v="56370.66"/>
    <n v="28"/>
    <n v="71202.77"/>
    <n v="127573.43"/>
  </r>
  <r>
    <x v="1381"/>
    <n v="34"/>
    <n v="78408.479999999996"/>
    <n v="20"/>
    <n v="49119.76"/>
    <n v="127528.239999999"/>
  </r>
  <r>
    <x v="1382"/>
    <n v="24"/>
    <n v="53604.94"/>
    <n v="32"/>
    <n v="73873.490000000005"/>
    <n v="127478.43"/>
  </r>
  <r>
    <x v="1383"/>
    <n v="33"/>
    <n v="74973.14"/>
    <n v="21"/>
    <n v="52431.46"/>
    <n v="127404.6"/>
  </r>
  <r>
    <x v="1384"/>
    <n v="29"/>
    <n v="68008.55"/>
    <n v="22"/>
    <n v="59353.95"/>
    <n v="127362.5"/>
  </r>
  <r>
    <x v="1385"/>
    <n v="20"/>
    <n v="61093.67"/>
    <n v="23"/>
    <n v="66250.44"/>
    <n v="127344.11"/>
  </r>
  <r>
    <x v="1386"/>
    <n v="25"/>
    <n v="56279.48"/>
    <n v="29"/>
    <n v="71043.520000000004"/>
    <n v="127323"/>
  </r>
  <r>
    <x v="1387"/>
    <n v="35"/>
    <n v="83903.43"/>
    <n v="16"/>
    <n v="43374.69"/>
    <n v="127278.12"/>
  </r>
  <r>
    <x v="1388"/>
    <n v="21"/>
    <n v="41948.39"/>
    <n v="32"/>
    <n v="85304.81"/>
    <n v="127253.2"/>
  </r>
  <r>
    <x v="1389"/>
    <n v="26"/>
    <n v="64592.87"/>
    <n v="25"/>
    <n v="62569.64"/>
    <n v="127162.51"/>
  </r>
  <r>
    <x v="1390"/>
    <n v="28"/>
    <n v="71457.350000000006"/>
    <n v="26"/>
    <n v="55672.73"/>
    <n v="127130.08"/>
  </r>
  <r>
    <x v="1391"/>
    <n v="27"/>
    <n v="70814.58"/>
    <n v="27"/>
    <n v="56307.6"/>
    <n v="127122.18"/>
  </r>
  <r>
    <x v="1392"/>
    <n v="27"/>
    <n v="68325.149999999994"/>
    <n v="21"/>
    <n v="58781.74"/>
    <n v="127106.889999999"/>
  </r>
  <r>
    <x v="1393"/>
    <n v="21"/>
    <n v="49841.66"/>
    <n v="29"/>
    <n v="77242.679999999993"/>
    <n v="127084.34"/>
  </r>
  <r>
    <x v="1394"/>
    <n v="27"/>
    <n v="70020.92"/>
    <n v="20"/>
    <n v="57037.08"/>
    <n v="127058"/>
  </r>
  <r>
    <x v="1395"/>
    <n v="27"/>
    <n v="67148.42"/>
    <n v="28"/>
    <n v="59861.22"/>
    <n v="127009.64"/>
  </r>
  <r>
    <x v="1396"/>
    <n v="33"/>
    <n v="86469.56"/>
    <n v="19"/>
    <n v="40432.22"/>
    <n v="126901.78"/>
  </r>
  <r>
    <x v="1397"/>
    <n v="28"/>
    <n v="70091.81"/>
    <n v="24"/>
    <n v="56759.73"/>
    <n v="126851.54"/>
  </r>
  <r>
    <x v="1398"/>
    <n v="31"/>
    <n v="72000.75"/>
    <n v="25"/>
    <n v="54815.03"/>
    <n v="126815.78"/>
  </r>
  <r>
    <x v="1399"/>
    <n v="32"/>
    <n v="68627.350000000006"/>
    <n v="23"/>
    <n v="58187.9"/>
    <n v="126815.25"/>
  </r>
  <r>
    <x v="1400"/>
    <n v="19"/>
    <n v="51909.25"/>
    <n v="30"/>
    <n v="74895.600000000006"/>
    <n v="126804.85"/>
  </r>
  <r>
    <x v="1401"/>
    <n v="17"/>
    <n v="37347.519999999997"/>
    <n v="37"/>
    <n v="89385.39"/>
    <n v="126732.91"/>
  </r>
  <r>
    <x v="1402"/>
    <n v="19"/>
    <n v="51548.24"/>
    <n v="29"/>
    <n v="75139.95"/>
    <n v="126688.19"/>
  </r>
  <r>
    <x v="1403"/>
    <n v="26"/>
    <n v="56146.91"/>
    <n v="26"/>
    <n v="70485.38"/>
    <n v="126632.29"/>
  </r>
  <r>
    <x v="1404"/>
    <n v="32"/>
    <n v="71197.929999999993"/>
    <n v="24"/>
    <n v="55426.13"/>
    <n v="126624.06"/>
  </r>
  <r>
    <x v="1405"/>
    <n v="27"/>
    <n v="61186.97"/>
    <n v="25"/>
    <n v="65437.06"/>
    <n v="126624.03"/>
  </r>
  <r>
    <x v="1406"/>
    <n v="22"/>
    <n v="60797.88"/>
    <n v="29"/>
    <n v="65787.81"/>
    <n v="126585.69"/>
  </r>
  <r>
    <x v="1407"/>
    <n v="20"/>
    <n v="51859.45"/>
    <n v="31"/>
    <n v="74617.740000000005"/>
    <n v="126477.19"/>
  </r>
  <r>
    <x v="1408"/>
    <n v="29"/>
    <n v="69240.7"/>
    <n v="20"/>
    <n v="57228.39"/>
    <n v="126469.09"/>
  </r>
  <r>
    <x v="1409"/>
    <n v="32"/>
    <n v="92948.39"/>
    <n v="18"/>
    <n v="33497.19"/>
    <n v="126445.58"/>
  </r>
  <r>
    <x v="1410"/>
    <n v="33"/>
    <n v="80844.67"/>
    <n v="23"/>
    <n v="45477.599999999999"/>
    <n v="126322.269999999"/>
  </r>
  <r>
    <x v="1411"/>
    <n v="21"/>
    <n v="56283.4"/>
    <n v="26"/>
    <n v="69984.84"/>
    <n v="126268.239999999"/>
  </r>
  <r>
    <x v="1412"/>
    <n v="33"/>
    <n v="70521.22"/>
    <n v="27"/>
    <n v="55742.93"/>
    <n v="126264.15"/>
  </r>
  <r>
    <x v="1413"/>
    <n v="27"/>
    <n v="53507.77"/>
    <n v="27"/>
    <n v="72698.36"/>
    <n v="126206.13"/>
  </r>
  <r>
    <x v="1414"/>
    <n v="34"/>
    <n v="69927.710000000006"/>
    <n v="26"/>
    <n v="56251.89"/>
    <n v="126179.6"/>
  </r>
  <r>
    <x v="1415"/>
    <n v="30"/>
    <n v="80505.38"/>
    <n v="22"/>
    <n v="45655.07"/>
    <n v="126160.45"/>
  </r>
  <r>
    <x v="1416"/>
    <n v="30"/>
    <n v="72534.25"/>
    <n v="25"/>
    <n v="53579.05"/>
    <n v="126113.3"/>
  </r>
  <r>
    <x v="1417"/>
    <n v="24"/>
    <n v="73056.33"/>
    <n v="22"/>
    <n v="52987.95"/>
    <n v="126044.28"/>
  </r>
  <r>
    <x v="1418"/>
    <n v="23"/>
    <n v="67777.48"/>
    <n v="25"/>
    <n v="58258.79"/>
    <n v="126036.269999999"/>
  </r>
  <r>
    <x v="1419"/>
    <n v="32"/>
    <n v="76542.179999999993"/>
    <n v="21"/>
    <n v="49444.55"/>
    <n v="125986.73"/>
  </r>
  <r>
    <x v="1420"/>
    <n v="28"/>
    <n v="68495.839999999997"/>
    <n v="23"/>
    <n v="57468.36"/>
    <n v="125964.2"/>
  </r>
  <r>
    <x v="1421"/>
    <n v="35"/>
    <n v="83189.179999999993"/>
    <n v="18"/>
    <n v="42723.839999999997"/>
    <n v="125913.019999999"/>
  </r>
  <r>
    <x v="1422"/>
    <n v="29"/>
    <n v="61299.519999999997"/>
    <n v="27"/>
    <n v="64571.77"/>
    <n v="125871.29"/>
  </r>
  <r>
    <x v="1423"/>
    <n v="29"/>
    <n v="76704.66"/>
    <n v="24"/>
    <n v="49085.54"/>
    <n v="125790.2"/>
  </r>
  <r>
    <x v="1424"/>
    <n v="25"/>
    <n v="53402.19"/>
    <n v="28"/>
    <n v="72284.14"/>
    <n v="125686.33"/>
  </r>
  <r>
    <x v="1425"/>
    <n v="29"/>
    <n v="71285.19"/>
    <n v="22"/>
    <n v="54328.29"/>
    <n v="125613.48"/>
  </r>
  <r>
    <x v="1426"/>
    <n v="29"/>
    <n v="81007.149999999994"/>
    <n v="18"/>
    <n v="44577.98"/>
    <n v="125585.13"/>
  </r>
  <r>
    <x v="1427"/>
    <n v="31"/>
    <n v="71752.02"/>
    <n v="25"/>
    <n v="53783.03"/>
    <n v="125535.05"/>
  </r>
  <r>
    <x v="1428"/>
    <n v="23"/>
    <n v="63510.34"/>
    <n v="27"/>
    <n v="61986.63"/>
    <n v="125496.97"/>
  </r>
  <r>
    <x v="1429"/>
    <n v="30"/>
    <n v="66364.77"/>
    <n v="25"/>
    <n v="59121.919999999998"/>
    <n v="125486.69"/>
  </r>
  <r>
    <x v="1430"/>
    <n v="32"/>
    <n v="83250.3"/>
    <n v="19"/>
    <n v="42235.49"/>
    <n v="125485.79"/>
  </r>
  <r>
    <x v="1431"/>
    <n v="27"/>
    <n v="59267.09"/>
    <n v="30"/>
    <n v="66101.649999999994"/>
    <n v="125368.739999999"/>
  </r>
  <r>
    <x v="1432"/>
    <n v="24"/>
    <n v="55060.84"/>
    <n v="28"/>
    <n v="70290.080000000002"/>
    <n v="125350.92"/>
  </r>
  <r>
    <x v="1433"/>
    <n v="23"/>
    <n v="55275.55"/>
    <n v="32"/>
    <n v="70068.12"/>
    <n v="125343.67"/>
  </r>
  <r>
    <x v="1434"/>
    <n v="30"/>
    <n v="77801.64"/>
    <n v="21"/>
    <n v="47506.81"/>
    <n v="125308.45"/>
  </r>
  <r>
    <x v="1435"/>
    <n v="26"/>
    <n v="65914.539999999994"/>
    <n v="31"/>
    <n v="59257.3"/>
    <n v="125171.84"/>
  </r>
  <r>
    <x v="1436"/>
    <n v="25"/>
    <n v="56865.91"/>
    <n v="29"/>
    <n v="68293.88"/>
    <n v="125159.79"/>
  </r>
  <r>
    <x v="1437"/>
    <n v="35"/>
    <n v="68923.88"/>
    <n v="20"/>
    <n v="56086.75"/>
    <n v="125010.63"/>
  </r>
  <r>
    <x v="1438"/>
    <n v="22"/>
    <n v="48866.17"/>
    <n v="31"/>
    <n v="76141.19"/>
    <n v="125007.36"/>
  </r>
  <r>
    <x v="1439"/>
    <n v="35"/>
    <n v="75660.12"/>
    <n v="25"/>
    <n v="49332.18"/>
    <n v="124992.299999999"/>
  </r>
  <r>
    <x v="1440"/>
    <n v="29"/>
    <n v="73685.3"/>
    <n v="21"/>
    <n v="51300.46"/>
    <n v="124985.76"/>
  </r>
  <r>
    <x v="1441"/>
    <n v="32"/>
    <n v="70805.62"/>
    <n v="20"/>
    <n v="54103.98"/>
    <n v="124909.6"/>
  </r>
  <r>
    <x v="1442"/>
    <n v="28"/>
    <n v="57537.01"/>
    <n v="24"/>
    <n v="67366.600000000006"/>
    <n v="124903.61"/>
  </r>
  <r>
    <x v="1443"/>
    <n v="27"/>
    <n v="58843.57"/>
    <n v="27"/>
    <n v="66004.89"/>
    <n v="124848.459999999"/>
  </r>
  <r>
    <x v="1444"/>
    <n v="24"/>
    <n v="50925.47"/>
    <n v="26"/>
    <n v="73862.210000000006"/>
    <n v="124787.68"/>
  </r>
  <r>
    <x v="1445"/>
    <n v="26"/>
    <n v="55627.02"/>
    <n v="26"/>
    <n v="69093.47"/>
    <n v="124720.489999999"/>
  </r>
  <r>
    <x v="1446"/>
    <n v="28"/>
    <n v="52797.21"/>
    <n v="29"/>
    <n v="71876.98"/>
    <n v="124674.19"/>
  </r>
  <r>
    <x v="1447"/>
    <n v="24"/>
    <n v="48682.74"/>
    <n v="27"/>
    <n v="75974.289999999994"/>
    <n v="124657.03"/>
  </r>
  <r>
    <x v="1448"/>
    <n v="24"/>
    <n v="58105"/>
    <n v="28"/>
    <n v="66515.06"/>
    <n v="124620.06"/>
  </r>
  <r>
    <x v="1449"/>
    <n v="25"/>
    <n v="54721.440000000002"/>
    <n v="28"/>
    <n v="69888.66"/>
    <n v="124610.1"/>
  </r>
  <r>
    <x v="1450"/>
    <n v="24"/>
    <n v="53155.07"/>
    <n v="37"/>
    <n v="71400.87"/>
    <n v="124555.94"/>
  </r>
  <r>
    <x v="1451"/>
    <n v="29"/>
    <n v="60474.93"/>
    <n v="27"/>
    <n v="63989.43"/>
    <n v="124464.36"/>
  </r>
  <r>
    <x v="1452"/>
    <n v="27"/>
    <n v="73990.92"/>
    <n v="20"/>
    <n v="50455.79"/>
    <n v="124446.709999999"/>
  </r>
  <r>
    <x v="1453"/>
    <n v="27"/>
    <n v="63133.94"/>
    <n v="24"/>
    <n v="61264.07"/>
    <n v="124398.01"/>
  </r>
  <r>
    <x v="1454"/>
    <n v="28"/>
    <n v="70681.52"/>
    <n v="22"/>
    <n v="53616.44"/>
    <n v="124297.96"/>
  </r>
  <r>
    <x v="1455"/>
    <n v="23"/>
    <n v="58115.34"/>
    <n v="26"/>
    <n v="66161.73"/>
    <n v="124277.069999999"/>
  </r>
  <r>
    <x v="1456"/>
    <n v="24"/>
    <n v="63633.27"/>
    <n v="25"/>
    <n v="60523.56"/>
    <n v="124156.829999999"/>
  </r>
  <r>
    <x v="1457"/>
    <n v="24"/>
    <n v="50251.05"/>
    <n v="30"/>
    <n v="73856.240000000005"/>
    <n v="124107.29"/>
  </r>
  <r>
    <x v="1458"/>
    <n v="18"/>
    <n v="40283.620000000003"/>
    <n v="27"/>
    <n v="83794.45"/>
    <n v="124078.07"/>
  </r>
  <r>
    <x v="1459"/>
    <n v="20"/>
    <n v="53650.62"/>
    <n v="27"/>
    <n v="70421.36"/>
    <n v="124071.98"/>
  </r>
  <r>
    <x v="1460"/>
    <n v="24"/>
    <n v="58145.24"/>
    <n v="28"/>
    <n v="65863.149999999994"/>
    <n v="124008.389999999"/>
  </r>
  <r>
    <x v="1461"/>
    <n v="19"/>
    <n v="46427.91"/>
    <n v="29"/>
    <n v="77541.66"/>
    <n v="123969.57"/>
  </r>
  <r>
    <x v="1462"/>
    <n v="26"/>
    <n v="63209.66"/>
    <n v="24"/>
    <n v="60711.41"/>
    <n v="123921.07"/>
  </r>
  <r>
    <x v="1463"/>
    <n v="23"/>
    <n v="46504.42"/>
    <n v="33"/>
    <n v="77392.81"/>
    <n v="123897.23"/>
  </r>
  <r>
    <x v="1464"/>
    <n v="27"/>
    <n v="72866.44"/>
    <n v="20"/>
    <n v="50969.47"/>
    <n v="123835.91"/>
  </r>
  <r>
    <x v="1465"/>
    <n v="29"/>
    <n v="77370.8"/>
    <n v="21"/>
    <n v="46416.7"/>
    <n v="123787.5"/>
  </r>
  <r>
    <x v="1466"/>
    <n v="28"/>
    <n v="72482.02"/>
    <n v="22"/>
    <n v="51293.72"/>
    <n v="123775.74"/>
  </r>
  <r>
    <x v="1467"/>
    <n v="27"/>
    <n v="55656.51"/>
    <n v="24"/>
    <n v="68118.320000000007"/>
    <n v="123774.83"/>
  </r>
  <r>
    <x v="1468"/>
    <n v="31"/>
    <n v="82960.570000000007"/>
    <n v="20"/>
    <n v="40737.040000000001"/>
    <n v="123697.61"/>
  </r>
  <r>
    <x v="1469"/>
    <n v="26"/>
    <n v="56986.99"/>
    <n v="30"/>
    <n v="66511.16"/>
    <n v="123498.15"/>
  </r>
  <r>
    <x v="1470"/>
    <n v="27"/>
    <n v="70717.740000000005"/>
    <n v="22"/>
    <n v="52625.46"/>
    <n v="123343.2"/>
  </r>
  <r>
    <x v="1471"/>
    <n v="28"/>
    <n v="63871.78"/>
    <n v="27"/>
    <n v="59423.65"/>
    <n v="123295.43"/>
  </r>
  <r>
    <x v="1472"/>
    <n v="27"/>
    <n v="69792.75"/>
    <n v="24"/>
    <n v="53482.79"/>
    <n v="123275.54"/>
  </r>
  <r>
    <x v="1473"/>
    <n v="25"/>
    <n v="67266.41"/>
    <n v="22"/>
    <n v="55919.78"/>
    <n v="123186.19"/>
  </r>
  <r>
    <x v="1474"/>
    <n v="26"/>
    <n v="48035.78"/>
    <n v="28"/>
    <n v="75070.22"/>
    <n v="123106"/>
  </r>
  <r>
    <x v="1475"/>
    <n v="25"/>
    <n v="61267.24"/>
    <n v="21"/>
    <n v="61802.37"/>
    <n v="123069.61"/>
  </r>
  <r>
    <x v="1476"/>
    <n v="22"/>
    <n v="56867.92"/>
    <n v="28"/>
    <n v="66189.52"/>
    <n v="123057.44"/>
  </r>
  <r>
    <x v="1477"/>
    <n v="23"/>
    <n v="58616.959999999999"/>
    <n v="26"/>
    <n v="64433.919999999998"/>
    <n v="123050.88"/>
  </r>
  <r>
    <x v="1478"/>
    <n v="25"/>
    <n v="52222.559999999998"/>
    <n v="31"/>
    <n v="70760.210000000006"/>
    <n v="122982.77"/>
  </r>
  <r>
    <x v="1479"/>
    <n v="26"/>
    <n v="50782.43"/>
    <n v="30"/>
    <n v="71959.789999999994"/>
    <n v="122742.22"/>
  </r>
  <r>
    <x v="1480"/>
    <n v="28"/>
    <n v="63718.57"/>
    <n v="20"/>
    <n v="58997.57"/>
    <n v="122716.14"/>
  </r>
  <r>
    <x v="1481"/>
    <n v="26"/>
    <n v="60669.75"/>
    <n v="25"/>
    <n v="61977.64"/>
    <n v="122647.39"/>
  </r>
  <r>
    <x v="1482"/>
    <n v="29"/>
    <n v="66248.5"/>
    <n v="25"/>
    <n v="56198.59"/>
    <n v="122447.09"/>
  </r>
  <r>
    <x v="1483"/>
    <n v="21"/>
    <n v="59025.07"/>
    <n v="27"/>
    <n v="63375.79"/>
    <n v="122400.86"/>
  </r>
  <r>
    <x v="1484"/>
    <n v="31"/>
    <n v="71900.06"/>
    <n v="18"/>
    <n v="50380.54"/>
    <n v="122280.6"/>
  </r>
  <r>
    <x v="1485"/>
    <n v="28"/>
    <n v="65185.06"/>
    <n v="26"/>
    <n v="56959.39"/>
    <n v="122144.45"/>
  </r>
  <r>
    <x v="1486"/>
    <n v="15"/>
    <n v="37690.800000000003"/>
    <n v="32"/>
    <n v="84409.07"/>
    <n v="122099.87"/>
  </r>
  <r>
    <x v="1487"/>
    <n v="25"/>
    <n v="51815.98"/>
    <n v="26"/>
    <n v="70275.48"/>
    <n v="122091.459999999"/>
  </r>
  <r>
    <x v="1488"/>
    <n v="24"/>
    <n v="53579.44"/>
    <n v="29"/>
    <n v="68470.66"/>
    <n v="122050.1"/>
  </r>
  <r>
    <x v="1489"/>
    <n v="28"/>
    <n v="69584.820000000007"/>
    <n v="20"/>
    <n v="52435.95"/>
    <n v="122020.77"/>
  </r>
  <r>
    <x v="1490"/>
    <n v="26"/>
    <n v="56623.4"/>
    <n v="28"/>
    <n v="65219.01"/>
    <n v="121842.41"/>
  </r>
  <r>
    <x v="1491"/>
    <n v="37"/>
    <n v="100822.63"/>
    <n v="12"/>
    <n v="20989.919999999998"/>
    <n v="121812.55"/>
  </r>
  <r>
    <x v="1492"/>
    <n v="26"/>
    <n v="56061.58"/>
    <n v="26"/>
    <n v="65637.919999999998"/>
    <n v="121699.5"/>
  </r>
  <r>
    <x v="1493"/>
    <n v="30"/>
    <n v="66274.2"/>
    <n v="25"/>
    <n v="55421.27"/>
    <n v="121695.47"/>
  </r>
  <r>
    <x v="1494"/>
    <n v="25"/>
    <n v="59618.54"/>
    <n v="27"/>
    <n v="62040.78"/>
    <n v="121659.32"/>
  </r>
  <r>
    <x v="1495"/>
    <n v="28"/>
    <n v="65329.81"/>
    <n v="24"/>
    <n v="56096.44"/>
    <n v="121426.25"/>
  </r>
  <r>
    <x v="1496"/>
    <n v="20"/>
    <n v="57251.62"/>
    <n v="25"/>
    <n v="64127.11"/>
    <n v="121378.73"/>
  </r>
  <r>
    <x v="1497"/>
    <n v="26"/>
    <n v="69553.27"/>
    <n v="22"/>
    <n v="51796.47"/>
    <n v="121349.74"/>
  </r>
  <r>
    <x v="1498"/>
    <n v="23"/>
    <n v="56276.5"/>
    <n v="24"/>
    <n v="65014.34"/>
    <n v="121290.84"/>
  </r>
  <r>
    <x v="1499"/>
    <n v="22"/>
    <n v="51318.52"/>
    <n v="33"/>
    <n v="69972.289999999994"/>
    <n v="121290.81"/>
  </r>
  <r>
    <x v="1500"/>
    <n v="31"/>
    <n v="64373.8"/>
    <n v="25"/>
    <n v="56811.9"/>
    <n v="121185.7"/>
  </r>
  <r>
    <x v="1501"/>
    <n v="26"/>
    <n v="60970.3"/>
    <n v="23"/>
    <n v="60173.84"/>
    <n v="121144.14"/>
  </r>
  <r>
    <x v="1502"/>
    <n v="28"/>
    <n v="61435.040000000001"/>
    <n v="27"/>
    <n v="59673.16"/>
    <n v="121108.2"/>
  </r>
  <r>
    <x v="1503"/>
    <n v="23"/>
    <n v="45353.84"/>
    <n v="28"/>
    <n v="75669.62"/>
    <n v="121023.459999999"/>
  </r>
  <r>
    <x v="1504"/>
    <n v="21"/>
    <n v="55951.5"/>
    <n v="30"/>
    <n v="64935.199999999997"/>
    <n v="120886.7"/>
  </r>
  <r>
    <x v="1505"/>
    <n v="16"/>
    <n v="40348.379999999997"/>
    <n v="34"/>
    <n v="80512.929999999993"/>
    <n v="120861.31"/>
  </r>
  <r>
    <x v="1506"/>
    <n v="19"/>
    <n v="53052.69"/>
    <n v="29"/>
    <n v="67731.61"/>
    <n v="120784.3"/>
  </r>
  <r>
    <x v="1507"/>
    <n v="23"/>
    <n v="47951.34"/>
    <n v="33"/>
    <n v="72584.67"/>
    <n v="120536.01"/>
  </r>
  <r>
    <x v="1508"/>
    <n v="28"/>
    <n v="83197.5"/>
    <n v="19"/>
    <n v="37158.22"/>
    <n v="120355.72"/>
  </r>
  <r>
    <x v="1509"/>
    <n v="25"/>
    <n v="63178.71"/>
    <n v="32"/>
    <n v="57156.06"/>
    <n v="120334.769999999"/>
  </r>
  <r>
    <x v="1510"/>
    <n v="29"/>
    <n v="60332.36"/>
    <n v="24"/>
    <n v="59832.33"/>
    <n v="120164.69"/>
  </r>
  <r>
    <x v="1511"/>
    <n v="32"/>
    <n v="83987.88"/>
    <n v="18"/>
    <n v="36136.230000000003"/>
    <n v="120124.11"/>
  </r>
  <r>
    <x v="1512"/>
    <n v="24"/>
    <n v="71019.070000000007"/>
    <n v="18"/>
    <n v="48994.58"/>
    <n v="120013.65"/>
  </r>
  <r>
    <x v="1513"/>
    <n v="25"/>
    <n v="59381.760000000002"/>
    <n v="24"/>
    <n v="60449.81"/>
    <n v="119831.57"/>
  </r>
  <r>
    <x v="1514"/>
    <n v="26"/>
    <n v="52225.03"/>
    <n v="25"/>
    <n v="67584.86"/>
    <n v="119809.89"/>
  </r>
  <r>
    <x v="1515"/>
    <n v="20"/>
    <n v="55591.96"/>
    <n v="29"/>
    <n v="64211.01"/>
    <n v="119802.97"/>
  </r>
  <r>
    <x v="1516"/>
    <n v="25"/>
    <n v="68677.179999999993"/>
    <n v="21"/>
    <n v="50873.55"/>
    <n v="119550.73"/>
  </r>
  <r>
    <x v="1517"/>
    <n v="30"/>
    <n v="61641.2"/>
    <n v="25"/>
    <n v="57795.22"/>
    <n v="119436.42"/>
  </r>
  <r>
    <x v="1518"/>
    <n v="23"/>
    <n v="52627.97"/>
    <n v="25"/>
    <n v="66798.69"/>
    <n v="119426.66"/>
  </r>
  <r>
    <x v="1519"/>
    <n v="28"/>
    <n v="62288.32"/>
    <n v="22"/>
    <n v="57001.46"/>
    <n v="119289.78"/>
  </r>
  <r>
    <x v="1520"/>
    <n v="24"/>
    <n v="53908.15"/>
    <n v="27"/>
    <n v="65376.45"/>
    <n v="119284.6"/>
  </r>
  <r>
    <x v="1521"/>
    <n v="28"/>
    <n v="54755.79"/>
    <n v="25"/>
    <n v="64324.45"/>
    <n v="119080.239999999"/>
  </r>
  <r>
    <x v="1522"/>
    <n v="28"/>
    <n v="66468.73"/>
    <n v="26"/>
    <n v="52530.75"/>
    <n v="118999.48"/>
  </r>
  <r>
    <x v="1523"/>
    <n v="28"/>
    <n v="58386.22"/>
    <n v="27"/>
    <n v="60593.919999999998"/>
    <n v="118980.14"/>
  </r>
  <r>
    <x v="1524"/>
    <n v="26"/>
    <n v="66681.320000000007"/>
    <n v="22"/>
    <n v="52283.48"/>
    <n v="118964.8"/>
  </r>
  <r>
    <x v="1525"/>
    <n v="28"/>
    <n v="67211.539999999994"/>
    <n v="26"/>
    <n v="51687.66"/>
    <n v="118899.2"/>
  </r>
  <r>
    <x v="1526"/>
    <n v="24"/>
    <n v="51885.71"/>
    <n v="27"/>
    <n v="66923.360000000001"/>
    <n v="118809.07"/>
  </r>
  <r>
    <x v="1527"/>
    <n v="24"/>
    <n v="65332.46"/>
    <n v="22"/>
    <n v="53371.92"/>
    <n v="118704.38"/>
  </r>
  <r>
    <x v="1528"/>
    <n v="23"/>
    <n v="60995.41"/>
    <n v="27"/>
    <n v="57302.7"/>
    <n v="118298.11"/>
  </r>
  <r>
    <x v="1529"/>
    <n v="23"/>
    <n v="61039.17"/>
    <n v="25"/>
    <n v="57242.52"/>
    <n v="118281.69"/>
  </r>
  <r>
    <x v="1530"/>
    <n v="26"/>
    <n v="61262.65"/>
    <n v="25"/>
    <n v="57005.3"/>
    <n v="118267.95"/>
  </r>
  <r>
    <x v="1531"/>
    <n v="28"/>
    <n v="59901.32"/>
    <n v="27"/>
    <n v="58363.25"/>
    <n v="118264.57"/>
  </r>
  <r>
    <x v="1532"/>
    <n v="25"/>
    <n v="55216.51"/>
    <n v="26"/>
    <n v="62980.99"/>
    <n v="118197.5"/>
  </r>
  <r>
    <x v="1533"/>
    <n v="26"/>
    <n v="45585.71"/>
    <n v="29"/>
    <n v="72594.259999999995"/>
    <n v="118179.97"/>
  </r>
  <r>
    <x v="1534"/>
    <n v="27"/>
    <n v="66970.91"/>
    <n v="22"/>
    <n v="50822.59"/>
    <n v="117793.5"/>
  </r>
  <r>
    <x v="1535"/>
    <n v="25"/>
    <n v="58010.44"/>
    <n v="26"/>
    <n v="59751.63"/>
    <n v="117762.07"/>
  </r>
  <r>
    <x v="1536"/>
    <n v="25"/>
    <n v="68934.3"/>
    <n v="21"/>
    <n v="48767.25"/>
    <n v="117701.55"/>
  </r>
  <r>
    <x v="1537"/>
    <n v="28"/>
    <n v="65568.53"/>
    <n v="20"/>
    <n v="51959.66"/>
    <n v="117528.19"/>
  </r>
  <r>
    <x v="1538"/>
    <n v="23"/>
    <n v="51659.73"/>
    <n v="28"/>
    <n v="65842.570000000007"/>
    <n v="117502.3"/>
  </r>
  <r>
    <x v="1539"/>
    <n v="26"/>
    <n v="58678.83"/>
    <n v="27"/>
    <n v="58677.66"/>
    <n v="117356.49"/>
  </r>
  <r>
    <x v="1540"/>
    <n v="27"/>
    <n v="55360"/>
    <n v="25"/>
    <n v="61878.879999999997"/>
    <n v="117238.88"/>
  </r>
  <r>
    <x v="1541"/>
    <n v="27"/>
    <n v="67016.460000000006"/>
    <n v="26"/>
    <n v="49935.21"/>
    <n v="116951.67"/>
  </r>
  <r>
    <x v="1542"/>
    <n v="30"/>
    <n v="72299.710000000006"/>
    <n v="25"/>
    <n v="44586.96"/>
    <n v="116886.67"/>
  </r>
  <r>
    <x v="1543"/>
    <n v="26"/>
    <n v="71619.33"/>
    <n v="24"/>
    <n v="45181.31"/>
    <n v="116800.64"/>
  </r>
  <r>
    <x v="1544"/>
    <n v="23"/>
    <n v="50799.24"/>
    <n v="29"/>
    <n v="65876.55"/>
    <n v="116675.79"/>
  </r>
  <r>
    <x v="1545"/>
    <n v="27"/>
    <n v="61570.28"/>
    <n v="22"/>
    <n v="55037.72"/>
    <n v="116608"/>
  </r>
  <r>
    <x v="1546"/>
    <n v="23"/>
    <n v="63979.42"/>
    <n v="25"/>
    <n v="52191.8"/>
    <n v="116171.22"/>
  </r>
  <r>
    <x v="1547"/>
    <n v="30"/>
    <n v="58309.82"/>
    <n v="29"/>
    <n v="57838.87"/>
    <n v="116148.69"/>
  </r>
  <r>
    <x v="1548"/>
    <n v="26"/>
    <n v="62522.97"/>
    <n v="25"/>
    <n v="53623.31"/>
    <n v="116146.28"/>
  </r>
  <r>
    <x v="1549"/>
    <n v="23"/>
    <n v="65837.69"/>
    <n v="29"/>
    <n v="50124.59"/>
    <n v="115962.28"/>
  </r>
  <r>
    <x v="1550"/>
    <n v="23"/>
    <n v="50295.51"/>
    <n v="26"/>
    <n v="65466.89"/>
    <n v="115762.4"/>
  </r>
  <r>
    <x v="1551"/>
    <n v="25"/>
    <n v="65499.77"/>
    <n v="26"/>
    <n v="50116.94"/>
    <n v="115616.709999999"/>
  </r>
  <r>
    <x v="1552"/>
    <n v="22"/>
    <n v="39259.050000000003"/>
    <n v="29"/>
    <n v="76277.91"/>
    <n v="115536.96000000001"/>
  </r>
  <r>
    <x v="1553"/>
    <n v="23"/>
    <n v="64905.22"/>
    <n v="23"/>
    <n v="50567.14"/>
    <n v="115472.36"/>
  </r>
  <r>
    <x v="1554"/>
    <n v="28"/>
    <n v="58655.45"/>
    <n v="19"/>
    <n v="56658.54"/>
    <n v="115313.989999999"/>
  </r>
  <r>
    <x v="1555"/>
    <n v="26"/>
    <n v="53584.09"/>
    <n v="29"/>
    <n v="61289.67"/>
    <n v="114873.76"/>
  </r>
  <r>
    <x v="1556"/>
    <n v="19"/>
    <n v="43701.48"/>
    <n v="30"/>
    <n v="70993.11"/>
    <n v="114694.59"/>
  </r>
  <r>
    <x v="1557"/>
    <n v="23"/>
    <n v="58823.14"/>
    <n v="22"/>
    <n v="55808.82"/>
    <n v="114631.959999999"/>
  </r>
  <r>
    <x v="1558"/>
    <n v="29"/>
    <n v="59353.35"/>
    <n v="27"/>
    <n v="55263.43"/>
    <n v="114616.78"/>
  </r>
  <r>
    <x v="1559"/>
    <n v="21"/>
    <n v="47986.879999999997"/>
    <n v="26"/>
    <n v="66572.149999999994"/>
    <n v="114559.03"/>
  </r>
  <r>
    <x v="1560"/>
    <n v="24"/>
    <n v="62400.86"/>
    <n v="18"/>
    <n v="51891.86"/>
    <n v="114292.72"/>
  </r>
  <r>
    <x v="1561"/>
    <n v="26"/>
    <n v="51553.53"/>
    <n v="24"/>
    <n v="62721.919999999998"/>
    <n v="114275.45"/>
  </r>
  <r>
    <x v="1562"/>
    <n v="24"/>
    <n v="56116.63"/>
    <n v="18"/>
    <n v="58101.93"/>
    <n v="114218.56"/>
  </r>
  <r>
    <x v="1563"/>
    <n v="21"/>
    <n v="50195.79"/>
    <n v="32"/>
    <n v="63849.82"/>
    <n v="114045.61"/>
  </r>
  <r>
    <x v="1564"/>
    <n v="23"/>
    <n v="46622.66"/>
    <n v="25"/>
    <n v="67416.02"/>
    <n v="114038.68"/>
  </r>
  <r>
    <x v="1565"/>
    <n v="24"/>
    <n v="44219.98"/>
    <n v="24"/>
    <n v="69683.3"/>
    <n v="113903.28"/>
  </r>
  <r>
    <x v="1566"/>
    <n v="24"/>
    <n v="51196.59"/>
    <n v="24"/>
    <n v="62443.7"/>
    <n v="113640.29"/>
  </r>
  <r>
    <x v="1567"/>
    <n v="21"/>
    <n v="57243.13"/>
    <n v="23"/>
    <n v="56325.43"/>
    <n v="113568.56"/>
  </r>
  <r>
    <x v="1568"/>
    <n v="23"/>
    <n v="53452.84"/>
    <n v="24"/>
    <n v="59918.400000000001"/>
    <n v="113371.239999999"/>
  </r>
  <r>
    <x v="1569"/>
    <n v="27"/>
    <n v="63027.61"/>
    <n v="17"/>
    <n v="50133.11"/>
    <n v="113160.72"/>
  </r>
  <r>
    <x v="1570"/>
    <n v="21"/>
    <n v="53215.15"/>
    <n v="27"/>
    <n v="59911.18"/>
    <n v="113126.33"/>
  </r>
  <r>
    <x v="1571"/>
    <n v="23"/>
    <n v="66343.72"/>
    <n v="18"/>
    <n v="46560.37"/>
    <n v="112904.09"/>
  </r>
  <r>
    <x v="1572"/>
    <n v="27"/>
    <n v="67978.92"/>
    <n v="21"/>
    <n v="44812.71"/>
    <n v="112791.63"/>
  </r>
  <r>
    <x v="1573"/>
    <n v="29"/>
    <n v="69607.37"/>
    <n v="23"/>
    <n v="43136"/>
    <n v="112743.37"/>
  </r>
  <r>
    <x v="1574"/>
    <n v="25"/>
    <n v="56305.68"/>
    <n v="27"/>
    <n v="56169.77"/>
    <n v="112475.45"/>
  </r>
  <r>
    <x v="1575"/>
    <n v="22"/>
    <n v="49281.61"/>
    <n v="26"/>
    <n v="63112.14"/>
    <n v="112393.75"/>
  </r>
  <r>
    <x v="1576"/>
    <n v="22"/>
    <n v="51580.1"/>
    <n v="29"/>
    <n v="60720.94"/>
    <n v="112301.04"/>
  </r>
  <r>
    <x v="1577"/>
    <n v="27"/>
    <n v="57899.9"/>
    <n v="25"/>
    <n v="54363.48"/>
    <n v="112263.38"/>
  </r>
  <r>
    <x v="1578"/>
    <n v="21"/>
    <n v="54946.51"/>
    <n v="22"/>
    <n v="57287.29"/>
    <n v="112233.8"/>
  </r>
  <r>
    <x v="1579"/>
    <n v="23"/>
    <n v="50651.15"/>
    <n v="26"/>
    <n v="61487.89"/>
    <n v="112139.04"/>
  </r>
  <r>
    <x v="1580"/>
    <n v="22"/>
    <n v="51486.9"/>
    <n v="27"/>
    <n v="60338.89"/>
    <n v="111825.79"/>
  </r>
  <r>
    <x v="1581"/>
    <n v="18"/>
    <n v="43719.25"/>
    <n v="24"/>
    <n v="67964.27"/>
    <n v="111683.52"/>
  </r>
  <r>
    <x v="1582"/>
    <n v="24"/>
    <n v="68647.78"/>
    <n v="20"/>
    <n v="42844.86"/>
    <n v="111492.64"/>
  </r>
  <r>
    <x v="1583"/>
    <n v="25"/>
    <n v="60689.279999999999"/>
    <n v="18"/>
    <n v="50745.78"/>
    <n v="111435.06"/>
  </r>
  <r>
    <x v="1584"/>
    <n v="25"/>
    <n v="61766.62"/>
    <n v="20"/>
    <n v="49190.05"/>
    <n v="110956.67"/>
  </r>
  <r>
    <x v="1585"/>
    <n v="25"/>
    <n v="55814.09"/>
    <n v="22"/>
    <n v="55113.29"/>
    <n v="110927.38"/>
  </r>
  <r>
    <x v="1586"/>
    <n v="33"/>
    <n v="74705.13"/>
    <n v="18"/>
    <n v="36219.85"/>
    <n v="110924.98"/>
  </r>
  <r>
    <x v="1587"/>
    <n v="21"/>
    <n v="48238.97"/>
    <n v="27"/>
    <n v="62559.8"/>
    <n v="110798.77"/>
  </r>
  <r>
    <x v="1588"/>
    <n v="23"/>
    <n v="60995.25"/>
    <n v="23"/>
    <n v="49595.76"/>
    <n v="110591.01"/>
  </r>
  <r>
    <x v="1589"/>
    <n v="20"/>
    <n v="46675.97"/>
    <n v="30"/>
    <n v="63514.39"/>
    <n v="110190.36"/>
  </r>
  <r>
    <x v="1590"/>
    <n v="24"/>
    <n v="56288.25"/>
    <n v="24"/>
    <n v="53815.87"/>
    <n v="110104.12"/>
  </r>
  <r>
    <x v="1591"/>
    <n v="29"/>
    <n v="58176.33"/>
    <n v="25"/>
    <n v="51766.239999999998"/>
    <n v="109942.57"/>
  </r>
  <r>
    <x v="1592"/>
    <n v="24"/>
    <n v="50975.65"/>
    <n v="19"/>
    <n v="58717.78"/>
    <n v="109693.43"/>
  </r>
  <r>
    <x v="1593"/>
    <n v="25"/>
    <n v="62370.13"/>
    <n v="25"/>
    <n v="47154.95"/>
    <n v="109525.079999999"/>
  </r>
  <r>
    <x v="1594"/>
    <n v="24"/>
    <n v="47805.62"/>
    <n v="22"/>
    <n v="61718.52"/>
    <n v="109524.14"/>
  </r>
  <r>
    <x v="1595"/>
    <n v="28"/>
    <n v="59202.11"/>
    <n v="23"/>
    <n v="50289.66"/>
    <n v="109491.77"/>
  </r>
  <r>
    <x v="1596"/>
    <n v="21"/>
    <n v="50575.22"/>
    <n v="28"/>
    <n v="58715.65"/>
    <n v="109290.87"/>
  </r>
  <r>
    <x v="1597"/>
    <n v="20"/>
    <n v="39475.370000000003"/>
    <n v="24"/>
    <n v="69800.77"/>
    <n v="109276.14"/>
  </r>
  <r>
    <x v="1598"/>
    <n v="18"/>
    <n v="42307.42"/>
    <n v="31"/>
    <n v="66876.27"/>
    <n v="109183.69"/>
  </r>
  <r>
    <x v="1599"/>
    <n v="20"/>
    <n v="42474.31"/>
    <n v="30"/>
    <n v="66660.740000000005"/>
    <n v="109135.05"/>
  </r>
  <r>
    <x v="1600"/>
    <n v="20"/>
    <n v="44601.49"/>
    <n v="30"/>
    <n v="64395.44"/>
    <n v="108996.93"/>
  </r>
  <r>
    <x v="1601"/>
    <n v="26"/>
    <n v="65030.35"/>
    <n v="23"/>
    <n v="43432.08"/>
    <n v="108462.43"/>
  </r>
  <r>
    <x v="1602"/>
    <n v="33"/>
    <n v="72802.41"/>
    <n v="18"/>
    <n v="35580.339999999997"/>
    <n v="108382.75"/>
  </r>
  <r>
    <x v="1603"/>
    <n v="23"/>
    <n v="41528.78"/>
    <n v="28"/>
    <n v="66282.17"/>
    <n v="107810.95"/>
  </r>
  <r>
    <x v="1604"/>
    <n v="16"/>
    <n v="39940.58"/>
    <n v="28"/>
    <n v="67807.08"/>
    <n v="107747.66"/>
  </r>
  <r>
    <x v="1605"/>
    <n v="30"/>
    <n v="68255.820000000007"/>
    <n v="16"/>
    <n v="39246.31"/>
    <n v="107502.13"/>
  </r>
  <r>
    <x v="1606"/>
    <n v="24"/>
    <n v="48950.64"/>
    <n v="30"/>
    <n v="58547.199999999997"/>
    <n v="107497.84"/>
  </r>
  <r>
    <x v="1607"/>
    <n v="22"/>
    <n v="52003.59"/>
    <n v="24"/>
    <n v="55473.41"/>
    <n v="107477"/>
  </r>
  <r>
    <x v="1608"/>
    <n v="24"/>
    <n v="52304.77"/>
    <n v="26"/>
    <n v="55137.24"/>
    <n v="107442.01"/>
  </r>
  <r>
    <x v="1609"/>
    <n v="21"/>
    <n v="43063.37"/>
    <n v="31"/>
    <n v="64090.85"/>
    <n v="107154.22"/>
  </r>
  <r>
    <x v="1610"/>
    <n v="29"/>
    <n v="69486.33"/>
    <n v="18"/>
    <n v="37426.93"/>
    <n v="106913.26"/>
  </r>
  <r>
    <x v="1611"/>
    <n v="26"/>
    <n v="58564.85"/>
    <n v="20"/>
    <n v="48337.97"/>
    <n v="106902.82"/>
  </r>
  <r>
    <x v="1612"/>
    <n v="19"/>
    <n v="47084.4"/>
    <n v="27"/>
    <n v="59402.77"/>
    <n v="106487.17"/>
  </r>
  <r>
    <x v="1613"/>
    <n v="26"/>
    <n v="48248.51"/>
    <n v="24"/>
    <n v="58147.1"/>
    <n v="106395.61"/>
  </r>
  <r>
    <x v="1614"/>
    <n v="19"/>
    <n v="57655.95"/>
    <n v="24"/>
    <n v="48644.49"/>
    <n v="106300.44"/>
  </r>
  <r>
    <x v="1615"/>
    <n v="22"/>
    <n v="50038.71"/>
    <n v="19"/>
    <n v="56216.1"/>
    <n v="106254.81"/>
  </r>
  <r>
    <x v="1616"/>
    <n v="25"/>
    <n v="51686.73"/>
    <n v="21"/>
    <n v="54494.94"/>
    <n v="106181.67"/>
  </r>
  <r>
    <x v="1617"/>
    <n v="26"/>
    <n v="52843.51"/>
    <n v="21"/>
    <n v="52989.8"/>
    <n v="105833.31"/>
  </r>
  <r>
    <x v="1618"/>
    <n v="23"/>
    <n v="54783.83"/>
    <n v="26"/>
    <n v="51033.3"/>
    <n v="105817.13"/>
  </r>
  <r>
    <x v="1619"/>
    <n v="21"/>
    <n v="58350.42"/>
    <n v="26"/>
    <n v="47285.07"/>
    <n v="105635.489999999"/>
  </r>
  <r>
    <x v="1620"/>
    <n v="23"/>
    <n v="51395.96"/>
    <n v="19"/>
    <n v="54231.09"/>
    <n v="105627.049999999"/>
  </r>
  <r>
    <x v="1621"/>
    <n v="19"/>
    <n v="40568.519999999997"/>
    <n v="28"/>
    <n v="64797.43"/>
    <n v="105365.95"/>
  </r>
  <r>
    <x v="1622"/>
    <n v="28"/>
    <n v="78589.25"/>
    <n v="16"/>
    <n v="26145.27"/>
    <n v="104734.52"/>
  </r>
  <r>
    <x v="1623"/>
    <n v="24"/>
    <n v="52372"/>
    <n v="19"/>
    <n v="51330.57"/>
    <n v="103702.57"/>
  </r>
  <r>
    <x v="1624"/>
    <n v="24"/>
    <n v="59542.71"/>
    <n v="18"/>
    <n v="44146.36"/>
    <n v="103689.07"/>
  </r>
  <r>
    <x v="1625"/>
    <n v="27"/>
    <n v="58605.65"/>
    <n v="22"/>
    <n v="44891.15"/>
    <n v="103496.8"/>
  </r>
  <r>
    <x v="1626"/>
    <n v="19"/>
    <n v="38275.769999999997"/>
    <n v="24"/>
    <n v="64975.58"/>
    <n v="103251.35"/>
  </r>
  <r>
    <x v="1627"/>
    <n v="25"/>
    <n v="55588.05"/>
    <n v="21"/>
    <n v="47538.95"/>
    <n v="103127"/>
  </r>
  <r>
    <x v="1628"/>
    <n v="26"/>
    <n v="60408.87"/>
    <n v="16"/>
    <n v="42387.49"/>
    <n v="102796.36"/>
  </r>
  <r>
    <x v="1629"/>
    <n v="28"/>
    <n v="77377.440000000002"/>
    <n v="21"/>
    <n v="25065.88"/>
    <n v="102443.32"/>
  </r>
  <r>
    <x v="1630"/>
    <n v="15"/>
    <n v="34322.85"/>
    <n v="27"/>
    <n v="67599.7"/>
    <n v="101922.549999999"/>
  </r>
  <r>
    <x v="1631"/>
    <n v="23"/>
    <n v="55043.73"/>
    <n v="17"/>
    <n v="46241.57"/>
    <n v="101285.3"/>
  </r>
  <r>
    <x v="1632"/>
    <n v="23"/>
    <n v="52589.120000000003"/>
    <n v="20"/>
    <n v="48445.87"/>
    <n v="101034.99"/>
  </r>
  <r>
    <x v="1633"/>
    <n v="23"/>
    <n v="55217.51"/>
    <n v="20"/>
    <n v="44992.14"/>
    <n v="100209.65"/>
  </r>
  <r>
    <x v="1634"/>
    <n v="24"/>
    <n v="62507.9"/>
    <n v="17"/>
    <n v="35613.269999999997"/>
    <n v="98121.17"/>
  </r>
  <r>
    <x v="1635"/>
    <n v="22"/>
    <n v="43782.400000000001"/>
    <n v="22"/>
    <n v="54310.34"/>
    <n v="98092.739999999903"/>
  </r>
  <r>
    <x v="1636"/>
    <n v="21"/>
    <n v="54443.91"/>
    <n v="19"/>
    <n v="42532.59"/>
    <n v="96976.5"/>
  </r>
  <r>
    <x v="1637"/>
    <n v="19"/>
    <n v="42364.9"/>
    <n v="22"/>
    <n v="54467.26"/>
    <n v="96832.16"/>
  </r>
  <r>
    <x v="1638"/>
    <n v="26"/>
    <n v="51119.3"/>
    <n v="21"/>
    <n v="45692.55"/>
    <n v="96811.85"/>
  </r>
  <r>
    <x v="1639"/>
    <n v="20"/>
    <n v="40714.06"/>
    <n v="26"/>
    <n v="55502.15"/>
    <n v="96216.209999999905"/>
  </r>
  <r>
    <x v="1640"/>
    <n v="14"/>
    <n v="38947.46"/>
    <n v="25"/>
    <n v="56860.6"/>
    <n v="95808.06"/>
  </r>
  <r>
    <x v="1641"/>
    <n v="23"/>
    <n v="44737.42"/>
    <n v="26"/>
    <n v="49341.43"/>
    <n v="94078.85"/>
  </r>
  <r>
    <x v="1642"/>
    <n v="24"/>
    <n v="48695.71"/>
    <n v="20"/>
    <n v="45237.95"/>
    <n v="93933.66"/>
  </r>
  <r>
    <x v="1643"/>
    <n v="26"/>
    <n v="49793.06"/>
    <n v="18"/>
    <n v="43125.48"/>
    <n v="92918.54"/>
  </r>
  <r>
    <x v="1644"/>
    <n v="16"/>
    <n v="36827.589999999997"/>
    <n v="24"/>
    <n v="56046.05"/>
    <n v="92873.64"/>
  </r>
  <r>
    <x v="1645"/>
    <n v="17"/>
    <n v="35877.360000000001"/>
    <n v="26"/>
    <n v="56363.5"/>
    <n v="92240.86"/>
  </r>
  <r>
    <x v="1646"/>
    <n v="21"/>
    <n v="47325.27"/>
    <n v="19"/>
    <n v="40967.06"/>
    <n v="88292.3299999999"/>
  </r>
  <r>
    <x v="1647"/>
    <n v="18"/>
    <n v="41781.83"/>
    <n v="20"/>
    <n v="46018.400000000001"/>
    <n v="87800.23"/>
  </r>
  <r>
    <x v="1648"/>
    <n v="20"/>
    <n v="44698.06"/>
    <n v="22"/>
    <n v="42663.18"/>
    <n v="87361.239999999903"/>
  </r>
  <r>
    <x v="1649"/>
    <n v="21"/>
    <n v="46530.95"/>
    <n v="19"/>
    <n v="40194.1"/>
    <n v="86725.049999999901"/>
  </r>
  <r>
    <x v="1650"/>
    <n v="15"/>
    <n v="37373.279999999999"/>
    <n v="17"/>
    <n v="33004.61"/>
    <n v="70377.8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2">
  <r>
    <x v="0"/>
    <n v="300"/>
    <n v="755595.12"/>
    <x v="0"/>
  </r>
  <r>
    <x v="1"/>
    <n v="203"/>
    <n v="513469.42"/>
    <x v="1"/>
  </r>
  <r>
    <x v="2"/>
    <n v="211"/>
    <n v="505539.75"/>
    <x v="2"/>
  </r>
  <r>
    <x v="3"/>
    <n v="183"/>
    <n v="493183.81"/>
    <x v="3"/>
  </r>
  <r>
    <x v="4"/>
    <n v="191"/>
    <n v="488885.57"/>
    <x v="4"/>
  </r>
  <r>
    <x v="5"/>
    <n v="192"/>
    <n v="455518.67"/>
    <x v="5"/>
  </r>
  <r>
    <x v="6"/>
    <n v="183"/>
    <n v="454161.19"/>
    <x v="6"/>
  </r>
  <r>
    <x v="7"/>
    <n v="175"/>
    <n v="436983.54"/>
    <x v="7"/>
  </r>
  <r>
    <x v="8"/>
    <n v="163"/>
    <n v="426015.78"/>
    <x v="8"/>
  </r>
  <r>
    <x v="9"/>
    <n v="170"/>
    <n v="424688.68"/>
    <x v="9"/>
  </r>
  <r>
    <x v="10"/>
    <n v="166"/>
    <n v="422808.59"/>
    <x v="10"/>
  </r>
  <r>
    <x v="11"/>
    <n v="167"/>
    <n v="410861.78"/>
    <x v="11"/>
  </r>
  <r>
    <x v="12"/>
    <n v="158"/>
    <n v="401134.82"/>
    <x v="12"/>
  </r>
  <r>
    <x v="13"/>
    <n v="156"/>
    <n v="394248.22"/>
    <x v="13"/>
  </r>
  <r>
    <x v="14"/>
    <n v="150"/>
    <n v="387319.65"/>
    <x v="14"/>
  </r>
  <r>
    <x v="15"/>
    <n v="145"/>
    <n v="385730.03"/>
    <x v="15"/>
  </r>
  <r>
    <x v="16"/>
    <n v="150"/>
    <n v="371511.14"/>
    <x v="16"/>
  </r>
  <r>
    <x v="17"/>
    <n v="146"/>
    <n v="364271.72"/>
    <x v="17"/>
  </r>
  <r>
    <x v="18"/>
    <n v="150"/>
    <n v="362559.39"/>
    <x v="18"/>
  </r>
  <r>
    <x v="19"/>
    <n v="128"/>
    <n v="352487.13"/>
    <x v="19"/>
  </r>
  <r>
    <x v="20"/>
    <n v="139"/>
    <n v="346205.35"/>
    <x v="20"/>
  </r>
  <r>
    <x v="21"/>
    <n v="143"/>
    <n v="341451.34"/>
    <x v="21"/>
  </r>
  <r>
    <x v="22"/>
    <n v="137"/>
    <n v="337571.8"/>
    <x v="22"/>
  </r>
  <r>
    <x v="23"/>
    <n v="129"/>
    <n v="331680.18"/>
    <x v="23"/>
  </r>
  <r>
    <x v="24"/>
    <n v="134"/>
    <n v="329519.89"/>
    <x v="24"/>
  </r>
  <r>
    <x v="25"/>
    <n v="135"/>
    <n v="329493.5"/>
    <x v="25"/>
  </r>
  <r>
    <x v="26"/>
    <n v="124"/>
    <n v="327655.38"/>
    <x v="26"/>
  </r>
  <r>
    <x v="27"/>
    <n v="128"/>
    <n v="326730.71999999997"/>
    <x v="27"/>
  </r>
  <r>
    <x v="28"/>
    <n v="133"/>
    <n v="325384.82"/>
    <x v="28"/>
  </r>
  <r>
    <x v="29"/>
    <n v="130"/>
    <n v="323988.56"/>
    <x v="29"/>
  </r>
  <r>
    <x v="30"/>
    <n v="124"/>
    <n v="323445.21999999997"/>
    <x v="30"/>
  </r>
  <r>
    <x v="31"/>
    <n v="121"/>
    <n v="320795.59000000003"/>
    <x v="31"/>
  </r>
  <r>
    <x v="32"/>
    <n v="127"/>
    <n v="319341.98"/>
    <x v="32"/>
  </r>
  <r>
    <x v="33"/>
    <n v="128"/>
    <n v="318362.21999999997"/>
    <x v="33"/>
  </r>
  <r>
    <x v="34"/>
    <n v="115"/>
    <n v="315664.52"/>
    <x v="34"/>
  </r>
  <r>
    <x v="35"/>
    <n v="126"/>
    <n v="308799.63"/>
    <x v="35"/>
  </r>
  <r>
    <x v="36"/>
    <n v="116"/>
    <n v="301814.34999999998"/>
    <x v="36"/>
  </r>
  <r>
    <x v="37"/>
    <n v="124"/>
    <n v="300794.09999999998"/>
    <x v="37"/>
  </r>
  <r>
    <x v="38"/>
    <n v="123"/>
    <n v="299317.90000000002"/>
    <x v="38"/>
  </r>
  <r>
    <x v="39"/>
    <n v="114"/>
    <n v="299011.20000000001"/>
    <x v="39"/>
  </r>
  <r>
    <x v="40"/>
    <n v="119"/>
    <n v="297938.62"/>
    <x v="40"/>
  </r>
  <r>
    <x v="41"/>
    <n v="109"/>
    <n v="296730.36"/>
    <x v="41"/>
  </r>
  <r>
    <x v="42"/>
    <n v="111"/>
    <n v="294453.5"/>
    <x v="42"/>
  </r>
  <r>
    <x v="43"/>
    <n v="116"/>
    <n v="291232.94"/>
    <x v="43"/>
  </r>
  <r>
    <x v="44"/>
    <n v="112"/>
    <n v="290687.94"/>
    <x v="44"/>
  </r>
  <r>
    <x v="45"/>
    <n v="115"/>
    <n v="289350.02"/>
    <x v="45"/>
  </r>
  <r>
    <x v="46"/>
    <n v="115"/>
    <n v="287322.09999999998"/>
    <x v="46"/>
  </r>
  <r>
    <x v="47"/>
    <n v="110"/>
    <n v="287002.83"/>
    <x v="47"/>
  </r>
  <r>
    <x v="48"/>
    <n v="104"/>
    <n v="286446.75"/>
    <x v="48"/>
  </r>
  <r>
    <x v="49"/>
    <n v="113"/>
    <n v="286035.05"/>
    <x v="49"/>
  </r>
  <r>
    <x v="50"/>
    <n v="105"/>
    <n v="285205.51"/>
    <x v="50"/>
  </r>
  <r>
    <x v="51"/>
    <n v="115"/>
    <n v="283304.40999999997"/>
    <x v="51"/>
  </r>
  <r>
    <x v="52"/>
    <n v="113"/>
    <n v="283262.23"/>
    <x v="52"/>
  </r>
  <r>
    <x v="53"/>
    <n v="109"/>
    <n v="282789.65000000002"/>
    <x v="53"/>
  </r>
  <r>
    <x v="54"/>
    <n v="109"/>
    <n v="281944.92"/>
    <x v="54"/>
  </r>
  <r>
    <x v="55"/>
    <n v="114"/>
    <n v="281361.90000000002"/>
    <x v="55"/>
  </r>
  <r>
    <x v="56"/>
    <n v="103"/>
    <n v="279433.71000000002"/>
    <x v="56"/>
  </r>
  <r>
    <x v="57"/>
    <n v="103"/>
    <n v="277262.84999999998"/>
    <x v="57"/>
  </r>
  <r>
    <x v="58"/>
    <n v="113"/>
    <n v="277192.69"/>
    <x v="58"/>
  </r>
  <r>
    <x v="59"/>
    <n v="118"/>
    <n v="277007.15000000002"/>
    <x v="59"/>
  </r>
  <r>
    <x v="60"/>
    <n v="111"/>
    <n v="276188.94"/>
    <x v="60"/>
  </r>
  <r>
    <x v="61"/>
    <n v="98"/>
    <n v="275458.78000000003"/>
    <x v="61"/>
  </r>
  <r>
    <x v="62"/>
    <n v="101"/>
    <n v="275146.53000000003"/>
    <x v="62"/>
  </r>
  <r>
    <x v="63"/>
    <n v="111"/>
    <n v="273949.82"/>
    <x v="63"/>
  </r>
  <r>
    <x v="64"/>
    <n v="111"/>
    <n v="272455.7"/>
    <x v="64"/>
  </r>
  <r>
    <x v="65"/>
    <n v="101"/>
    <n v="271785.73"/>
    <x v="65"/>
  </r>
  <r>
    <x v="66"/>
    <n v="107"/>
    <n v="271465.34999999998"/>
    <x v="66"/>
  </r>
  <r>
    <x v="67"/>
    <n v="109"/>
    <n v="270908.57"/>
    <x v="67"/>
  </r>
  <r>
    <x v="68"/>
    <n v="103"/>
    <n v="270060.69"/>
    <x v="68"/>
  </r>
  <r>
    <x v="69"/>
    <n v="111"/>
    <n v="269587.8"/>
    <x v="69"/>
  </r>
  <r>
    <x v="70"/>
    <n v="109"/>
    <n v="269388.5"/>
    <x v="70"/>
  </r>
  <r>
    <x v="71"/>
    <n v="101"/>
    <n v="266352.93"/>
    <x v="71"/>
  </r>
  <r>
    <x v="72"/>
    <n v="103"/>
    <n v="264880.42"/>
    <x v="72"/>
  </r>
  <r>
    <x v="73"/>
    <n v="105"/>
    <n v="264153.19"/>
    <x v="73"/>
  </r>
  <r>
    <x v="74"/>
    <n v="92"/>
    <n v="264100.47999999998"/>
    <x v="74"/>
  </r>
  <r>
    <x v="75"/>
    <n v="99"/>
    <n v="263936.83"/>
    <x v="75"/>
  </r>
  <r>
    <x v="76"/>
    <n v="93"/>
    <n v="263221.57"/>
    <x v="76"/>
  </r>
  <r>
    <x v="77"/>
    <n v="100"/>
    <n v="262549.44"/>
    <x v="77"/>
  </r>
  <r>
    <x v="78"/>
    <n v="97"/>
    <n v="262449.01"/>
    <x v="78"/>
  </r>
  <r>
    <x v="79"/>
    <n v="108"/>
    <n v="262391.09999999998"/>
    <x v="79"/>
  </r>
  <r>
    <x v="80"/>
    <n v="112"/>
    <n v="261373.69"/>
    <x v="80"/>
  </r>
  <r>
    <x v="81"/>
    <n v="103"/>
    <n v="260807.3"/>
    <x v="81"/>
  </r>
  <r>
    <x v="82"/>
    <n v="96"/>
    <n v="260451.4"/>
    <x v="82"/>
  </r>
  <r>
    <x v="83"/>
    <n v="94"/>
    <n v="257910.02"/>
    <x v="83"/>
  </r>
  <r>
    <x v="84"/>
    <n v="105"/>
    <n v="256686.85"/>
    <x v="84"/>
  </r>
  <r>
    <x v="85"/>
    <n v="98"/>
    <n v="256487.23"/>
    <x v="85"/>
  </r>
  <r>
    <x v="86"/>
    <n v="105"/>
    <n v="255332.3"/>
    <x v="86"/>
  </r>
  <r>
    <x v="87"/>
    <n v="95"/>
    <n v="254895.55"/>
    <x v="87"/>
  </r>
  <r>
    <x v="88"/>
    <n v="104"/>
    <n v="253790.13"/>
    <x v="88"/>
  </r>
  <r>
    <x v="89"/>
    <n v="107"/>
    <n v="253578.26"/>
    <x v="89"/>
  </r>
  <r>
    <x v="90"/>
    <n v="101"/>
    <n v="251919.27"/>
    <x v="90"/>
  </r>
  <r>
    <x v="91"/>
    <n v="88"/>
    <n v="251509.87"/>
    <x v="91"/>
  </r>
  <r>
    <x v="92"/>
    <n v="93"/>
    <n v="251195.15"/>
    <x v="92"/>
  </r>
  <r>
    <x v="93"/>
    <n v="102"/>
    <n v="248226.9"/>
    <x v="93"/>
  </r>
  <r>
    <x v="94"/>
    <n v="99"/>
    <n v="248139.64"/>
    <x v="94"/>
  </r>
  <r>
    <x v="95"/>
    <n v="101"/>
    <n v="247737.2"/>
    <x v="95"/>
  </r>
  <r>
    <x v="96"/>
    <n v="96"/>
    <n v="247440.41"/>
    <x v="96"/>
  </r>
  <r>
    <x v="97"/>
    <n v="94"/>
    <n v="247211.04"/>
    <x v="97"/>
  </r>
  <r>
    <x v="98"/>
    <n v="109"/>
    <n v="246019.81"/>
    <x v="98"/>
  </r>
  <r>
    <x v="99"/>
    <n v="89"/>
    <n v="245436.52"/>
    <x v="99"/>
  </r>
  <r>
    <x v="100"/>
    <n v="96"/>
    <n v="245372.31"/>
    <x v="100"/>
  </r>
  <r>
    <x v="101"/>
    <n v="93"/>
    <n v="245146.17"/>
    <x v="101"/>
  </r>
  <r>
    <x v="102"/>
    <n v="106"/>
    <n v="245077.07"/>
    <x v="102"/>
  </r>
  <r>
    <x v="103"/>
    <n v="92"/>
    <n v="244062.71"/>
    <x v="103"/>
  </r>
  <r>
    <x v="104"/>
    <n v="83"/>
    <n v="243541.71"/>
    <x v="104"/>
  </r>
  <r>
    <x v="105"/>
    <n v="101"/>
    <n v="240920.32000000001"/>
    <x v="105"/>
  </r>
  <r>
    <x v="106"/>
    <n v="91"/>
    <n v="240863.72"/>
    <x v="106"/>
  </r>
  <r>
    <x v="107"/>
    <n v="89"/>
    <n v="240552.64"/>
    <x v="107"/>
  </r>
  <r>
    <x v="108"/>
    <n v="92"/>
    <n v="240433.91"/>
    <x v="108"/>
  </r>
  <r>
    <x v="109"/>
    <n v="104"/>
    <n v="239830.49"/>
    <x v="109"/>
  </r>
  <r>
    <x v="110"/>
    <n v="97"/>
    <n v="239154.01"/>
    <x v="110"/>
  </r>
  <r>
    <x v="111"/>
    <n v="88"/>
    <n v="238865.65"/>
    <x v="111"/>
  </r>
  <r>
    <x v="112"/>
    <n v="89"/>
    <n v="237229.82"/>
    <x v="112"/>
  </r>
  <r>
    <x v="113"/>
    <n v="94"/>
    <n v="236904.53"/>
    <x v="113"/>
  </r>
  <r>
    <x v="114"/>
    <n v="103"/>
    <n v="236143.43"/>
    <x v="114"/>
  </r>
  <r>
    <x v="115"/>
    <n v="91"/>
    <n v="235959.62"/>
    <x v="115"/>
  </r>
  <r>
    <x v="116"/>
    <n v="85"/>
    <n v="235860.29"/>
    <x v="116"/>
  </r>
  <r>
    <x v="117"/>
    <n v="89"/>
    <n v="235611.41"/>
    <x v="117"/>
  </r>
  <r>
    <x v="118"/>
    <n v="97"/>
    <n v="235446.17"/>
    <x v="118"/>
  </r>
  <r>
    <x v="119"/>
    <n v="84"/>
    <n v="235219.51"/>
    <x v="119"/>
  </r>
  <r>
    <x v="120"/>
    <n v="98"/>
    <n v="234885.02"/>
    <x v="120"/>
  </r>
  <r>
    <x v="121"/>
    <n v="98"/>
    <n v="234696.97"/>
    <x v="121"/>
  </r>
  <r>
    <x v="122"/>
    <n v="100"/>
    <n v="233098.27"/>
    <x v="122"/>
  </r>
  <r>
    <x v="123"/>
    <n v="96"/>
    <n v="232862.18"/>
    <x v="123"/>
  </r>
  <r>
    <x v="124"/>
    <n v="95"/>
    <n v="232677.75"/>
    <x v="124"/>
  </r>
  <r>
    <x v="125"/>
    <n v="86"/>
    <n v="232608.74"/>
    <x v="125"/>
  </r>
  <r>
    <x v="126"/>
    <n v="91"/>
    <n v="232336.95"/>
    <x v="126"/>
  </r>
  <r>
    <x v="127"/>
    <n v="88"/>
    <n v="232199.08"/>
    <x v="127"/>
  </r>
  <r>
    <x v="128"/>
    <n v="85"/>
    <n v="231676.03"/>
    <x v="128"/>
  </r>
  <r>
    <x v="129"/>
    <n v="97"/>
    <n v="231068.57"/>
    <x v="129"/>
  </r>
  <r>
    <x v="130"/>
    <n v="92"/>
    <n v="231029.4"/>
    <x v="130"/>
  </r>
  <r>
    <x v="131"/>
    <n v="96"/>
    <n v="228820.15"/>
    <x v="131"/>
  </r>
  <r>
    <x v="132"/>
    <n v="89"/>
    <n v="227546.17"/>
    <x v="132"/>
  </r>
  <r>
    <x v="133"/>
    <n v="92"/>
    <n v="227425.44"/>
    <x v="133"/>
  </r>
  <r>
    <x v="134"/>
    <n v="86"/>
    <n v="227275.33"/>
    <x v="134"/>
  </r>
  <r>
    <x v="135"/>
    <n v="91"/>
    <n v="227143.25"/>
    <x v="135"/>
  </r>
  <r>
    <x v="136"/>
    <n v="96"/>
    <n v="227096.23"/>
    <x v="136"/>
  </r>
  <r>
    <x v="137"/>
    <n v="91"/>
    <n v="226993.3"/>
    <x v="137"/>
  </r>
  <r>
    <x v="138"/>
    <n v="93"/>
    <n v="226730.58"/>
    <x v="138"/>
  </r>
  <r>
    <x v="139"/>
    <n v="98"/>
    <n v="226442.2"/>
    <x v="139"/>
  </r>
  <r>
    <x v="140"/>
    <n v="91"/>
    <n v="225795.56"/>
    <x v="140"/>
  </r>
  <r>
    <x v="141"/>
    <n v="85"/>
    <n v="225713.99"/>
    <x v="141"/>
  </r>
  <r>
    <x v="142"/>
    <n v="86"/>
    <n v="225091.14"/>
    <x v="142"/>
  </r>
  <r>
    <x v="143"/>
    <n v="88"/>
    <n v="223587.52"/>
    <x v="143"/>
  </r>
  <r>
    <x v="144"/>
    <n v="93"/>
    <n v="223379.41"/>
    <x v="144"/>
  </r>
  <r>
    <x v="145"/>
    <n v="91"/>
    <n v="222801.95"/>
    <x v="145"/>
  </r>
  <r>
    <x v="146"/>
    <n v="92"/>
    <n v="222778.97"/>
    <x v="146"/>
  </r>
  <r>
    <x v="147"/>
    <n v="89"/>
    <n v="222041.67"/>
    <x v="147"/>
  </r>
  <r>
    <x v="148"/>
    <n v="85"/>
    <n v="221210.45"/>
    <x v="148"/>
  </r>
  <r>
    <x v="149"/>
    <n v="88"/>
    <n v="221096.73"/>
    <x v="149"/>
  </r>
  <r>
    <x v="150"/>
    <n v="86"/>
    <n v="221030.64"/>
    <x v="150"/>
  </r>
  <r>
    <x v="151"/>
    <n v="86"/>
    <n v="220683.34"/>
    <x v="151"/>
  </r>
  <r>
    <x v="152"/>
    <n v="94"/>
    <n v="220676.94"/>
    <x v="152"/>
  </r>
  <r>
    <x v="153"/>
    <n v="88"/>
    <n v="220153.56"/>
    <x v="153"/>
  </r>
  <r>
    <x v="154"/>
    <n v="89"/>
    <n v="219884.74"/>
    <x v="154"/>
  </r>
  <r>
    <x v="155"/>
    <n v="92"/>
    <n v="219066.23999999999"/>
    <x v="155"/>
  </r>
  <r>
    <x v="156"/>
    <n v="77"/>
    <n v="218585.48"/>
    <x v="156"/>
  </r>
  <r>
    <x v="157"/>
    <n v="91"/>
    <n v="218502.07"/>
    <x v="157"/>
  </r>
  <r>
    <x v="158"/>
    <n v="82"/>
    <n v="218453.03"/>
    <x v="158"/>
  </r>
  <r>
    <x v="159"/>
    <n v="78"/>
    <n v="217997"/>
    <x v="159"/>
  </r>
  <r>
    <x v="160"/>
    <n v="89"/>
    <n v="217633.2"/>
    <x v="160"/>
  </r>
  <r>
    <x v="161"/>
    <n v="86"/>
    <n v="216667.05"/>
    <x v="161"/>
  </r>
  <r>
    <x v="162"/>
    <n v="90"/>
    <n v="216377.29"/>
    <x v="162"/>
  </r>
  <r>
    <x v="163"/>
    <n v="92"/>
    <n v="216257.81"/>
    <x v="163"/>
  </r>
  <r>
    <x v="164"/>
    <n v="92"/>
    <n v="216175.89"/>
    <x v="164"/>
  </r>
  <r>
    <x v="165"/>
    <n v="88"/>
    <n v="216126.45"/>
    <x v="165"/>
  </r>
  <r>
    <x v="166"/>
    <n v="86"/>
    <n v="215624.15"/>
    <x v="166"/>
  </r>
  <r>
    <x v="167"/>
    <n v="92"/>
    <n v="215537.29"/>
    <x v="167"/>
  </r>
  <r>
    <x v="168"/>
    <n v="90"/>
    <n v="215094.95"/>
    <x v="168"/>
  </r>
  <r>
    <x v="169"/>
    <n v="79"/>
    <n v="214437.28"/>
    <x v="169"/>
  </r>
  <r>
    <x v="170"/>
    <n v="88"/>
    <n v="214251.74"/>
    <x v="170"/>
  </r>
  <r>
    <x v="171"/>
    <n v="86"/>
    <n v="213743.84"/>
    <x v="171"/>
  </r>
  <r>
    <x v="172"/>
    <n v="89"/>
    <n v="213568.38"/>
    <x v="172"/>
  </r>
  <r>
    <x v="173"/>
    <n v="87"/>
    <n v="213444.74"/>
    <x v="173"/>
  </r>
  <r>
    <x v="174"/>
    <n v="90"/>
    <n v="213344.75"/>
    <x v="174"/>
  </r>
  <r>
    <x v="175"/>
    <n v="89"/>
    <n v="211627.48"/>
    <x v="175"/>
  </r>
  <r>
    <x v="176"/>
    <n v="80"/>
    <n v="210509.93"/>
    <x v="176"/>
  </r>
  <r>
    <x v="177"/>
    <n v="82"/>
    <n v="209693.87"/>
    <x v="177"/>
  </r>
  <r>
    <x v="178"/>
    <n v="82"/>
    <n v="209489.82"/>
    <x v="178"/>
  </r>
  <r>
    <x v="179"/>
    <n v="81"/>
    <n v="209141.58"/>
    <x v="179"/>
  </r>
  <r>
    <x v="180"/>
    <n v="76"/>
    <n v="208451.1"/>
    <x v="180"/>
  </r>
  <r>
    <x v="181"/>
    <n v="76"/>
    <n v="207201.43"/>
    <x v="181"/>
  </r>
  <r>
    <x v="182"/>
    <n v="87"/>
    <n v="206969.05"/>
    <x v="182"/>
  </r>
  <r>
    <x v="183"/>
    <n v="82"/>
    <n v="205598.7"/>
    <x v="183"/>
  </r>
  <r>
    <x v="184"/>
    <n v="84"/>
    <n v="205463.15"/>
    <x v="184"/>
  </r>
  <r>
    <x v="185"/>
    <n v="74"/>
    <n v="205007.88"/>
    <x v="185"/>
  </r>
  <r>
    <x v="186"/>
    <n v="85"/>
    <n v="203921.47"/>
    <x v="186"/>
  </r>
  <r>
    <x v="187"/>
    <n v="78"/>
    <n v="203835.94"/>
    <x v="187"/>
  </r>
  <r>
    <x v="188"/>
    <n v="78"/>
    <n v="203705.01"/>
    <x v="188"/>
  </r>
  <r>
    <x v="189"/>
    <n v="74"/>
    <n v="202851.1"/>
    <x v="189"/>
  </r>
  <r>
    <x v="190"/>
    <n v="75"/>
    <n v="201520.24"/>
    <x v="190"/>
  </r>
  <r>
    <x v="191"/>
    <n v="78"/>
    <n v="201499.17"/>
    <x v="191"/>
  </r>
  <r>
    <x v="192"/>
    <n v="77"/>
    <n v="201344.72"/>
    <x v="192"/>
  </r>
  <r>
    <x v="193"/>
    <n v="81"/>
    <n v="200885.59"/>
    <x v="193"/>
  </r>
  <r>
    <x v="194"/>
    <n v="76"/>
    <n v="200305.97"/>
    <x v="194"/>
  </r>
  <r>
    <x v="195"/>
    <n v="66"/>
    <n v="198792.29"/>
    <x v="195"/>
  </r>
  <r>
    <x v="196"/>
    <n v="90"/>
    <n v="198060.1"/>
    <x v="196"/>
  </r>
  <r>
    <x v="197"/>
    <n v="67"/>
    <n v="197974.89"/>
    <x v="197"/>
  </r>
  <r>
    <x v="198"/>
    <n v="81"/>
    <n v="197542.71"/>
    <x v="198"/>
  </r>
  <r>
    <x v="199"/>
    <n v="87"/>
    <n v="197528.4"/>
    <x v="199"/>
  </r>
  <r>
    <x v="200"/>
    <n v="80"/>
    <n v="197071.25"/>
    <x v="200"/>
  </r>
  <r>
    <x v="201"/>
    <n v="85"/>
    <n v="196633.82"/>
    <x v="201"/>
  </r>
  <r>
    <x v="202"/>
    <n v="78"/>
    <n v="196542.22"/>
    <x v="202"/>
  </r>
  <r>
    <x v="203"/>
    <n v="77"/>
    <n v="195399.4"/>
    <x v="203"/>
  </r>
  <r>
    <x v="204"/>
    <n v="89"/>
    <n v="194735.45"/>
    <x v="204"/>
  </r>
  <r>
    <x v="205"/>
    <n v="76"/>
    <n v="194058.06"/>
    <x v="205"/>
  </r>
  <r>
    <x v="206"/>
    <n v="82"/>
    <n v="193933.62"/>
    <x v="206"/>
  </r>
  <r>
    <x v="207"/>
    <n v="78"/>
    <n v="192632.27"/>
    <x v="207"/>
  </r>
  <r>
    <x v="208"/>
    <n v="75"/>
    <n v="192550.81"/>
    <x v="208"/>
  </r>
  <r>
    <x v="209"/>
    <n v="78"/>
    <n v="192239.08"/>
    <x v="209"/>
  </r>
  <r>
    <x v="210"/>
    <n v="76"/>
    <n v="191741.19"/>
    <x v="210"/>
  </r>
  <r>
    <x v="211"/>
    <n v="69"/>
    <n v="191284.56"/>
    <x v="211"/>
  </r>
  <r>
    <x v="212"/>
    <n v="76"/>
    <n v="190960.73"/>
    <x v="212"/>
  </r>
  <r>
    <x v="213"/>
    <n v="70"/>
    <n v="190134.21"/>
    <x v="213"/>
  </r>
  <r>
    <x v="214"/>
    <n v="70"/>
    <n v="189725.82"/>
    <x v="214"/>
  </r>
  <r>
    <x v="215"/>
    <n v="75"/>
    <n v="189374.17"/>
    <x v="215"/>
  </r>
  <r>
    <x v="216"/>
    <n v="83"/>
    <n v="189009.45"/>
    <x v="216"/>
  </r>
  <r>
    <x v="217"/>
    <n v="80"/>
    <n v="188435.26"/>
    <x v="217"/>
  </r>
  <r>
    <x v="218"/>
    <n v="80"/>
    <n v="188408.97"/>
    <x v="218"/>
  </r>
  <r>
    <x v="219"/>
    <n v="72"/>
    <n v="188089.45"/>
    <x v="219"/>
  </r>
  <r>
    <x v="220"/>
    <n v="70"/>
    <n v="187271.33"/>
    <x v="220"/>
  </r>
  <r>
    <x v="221"/>
    <n v="76"/>
    <n v="186559.24"/>
    <x v="221"/>
  </r>
  <r>
    <x v="222"/>
    <n v="74"/>
    <n v="185704.62"/>
    <x v="222"/>
  </r>
  <r>
    <x v="223"/>
    <n v="72"/>
    <n v="185090.85"/>
    <x v="223"/>
  </r>
  <r>
    <x v="224"/>
    <n v="71"/>
    <n v="185000.98"/>
    <x v="224"/>
  </r>
  <r>
    <x v="225"/>
    <n v="78"/>
    <n v="184141.76"/>
    <x v="225"/>
  </r>
  <r>
    <x v="226"/>
    <n v="70"/>
    <n v="184017.63"/>
    <x v="226"/>
  </r>
  <r>
    <x v="227"/>
    <n v="73"/>
    <n v="183697.75"/>
    <x v="227"/>
  </r>
  <r>
    <x v="228"/>
    <n v="69"/>
    <n v="183033.78"/>
    <x v="228"/>
  </r>
  <r>
    <x v="229"/>
    <n v="73"/>
    <n v="178226.41"/>
    <x v="229"/>
  </r>
  <r>
    <x v="230"/>
    <n v="75"/>
    <n v="177848.8"/>
    <x v="230"/>
  </r>
  <r>
    <x v="231"/>
    <n v="68"/>
    <n v="177675.44"/>
    <x v="231"/>
  </r>
  <r>
    <x v="232"/>
    <n v="70"/>
    <n v="177388.39"/>
    <x v="232"/>
  </r>
  <r>
    <x v="233"/>
    <n v="64"/>
    <n v="177321.75"/>
    <x v="233"/>
  </r>
  <r>
    <x v="234"/>
    <n v="66"/>
    <n v="174838.25"/>
    <x v="234"/>
  </r>
  <r>
    <x v="235"/>
    <n v="66"/>
    <n v="173602.81"/>
    <x v="235"/>
  </r>
  <r>
    <x v="236"/>
    <n v="68"/>
    <n v="173489.02"/>
    <x v="236"/>
  </r>
  <r>
    <x v="237"/>
    <n v="68"/>
    <n v="172989.8"/>
    <x v="237"/>
  </r>
  <r>
    <x v="238"/>
    <n v="65"/>
    <n v="172752.74"/>
    <x v="238"/>
  </r>
  <r>
    <x v="239"/>
    <n v="65"/>
    <n v="172108.55"/>
    <x v="239"/>
  </r>
  <r>
    <x v="240"/>
    <n v="67"/>
    <n v="171940.45"/>
    <x v="240"/>
  </r>
  <r>
    <x v="241"/>
    <n v="64"/>
    <n v="171839.55"/>
    <x v="241"/>
  </r>
  <r>
    <x v="242"/>
    <n v="59"/>
    <n v="171459.16"/>
    <x v="242"/>
  </r>
  <r>
    <x v="243"/>
    <n v="60"/>
    <n v="171395.85"/>
    <x v="243"/>
  </r>
  <r>
    <x v="244"/>
    <n v="70"/>
    <n v="169261.89"/>
    <x v="244"/>
  </r>
  <r>
    <x v="245"/>
    <n v="57"/>
    <n v="169132.37"/>
    <x v="245"/>
  </r>
  <r>
    <x v="246"/>
    <n v="62"/>
    <n v="169087.96"/>
    <x v="246"/>
  </r>
  <r>
    <x v="247"/>
    <n v="58"/>
    <n v="168477.52"/>
    <x v="247"/>
  </r>
  <r>
    <x v="248"/>
    <n v="70"/>
    <n v="168209.34"/>
    <x v="248"/>
  </r>
  <r>
    <x v="249"/>
    <n v="66"/>
    <n v="168150.51"/>
    <x v="249"/>
  </r>
  <r>
    <x v="250"/>
    <n v="69"/>
    <n v="168060.66"/>
    <x v="250"/>
  </r>
  <r>
    <x v="251"/>
    <n v="65"/>
    <n v="167225.88"/>
    <x v="251"/>
  </r>
  <r>
    <x v="252"/>
    <n v="75"/>
    <n v="167222.67000000001"/>
    <x v="252"/>
  </r>
  <r>
    <x v="253"/>
    <n v="73"/>
    <n v="167201.04999999999"/>
    <x v="253"/>
  </r>
  <r>
    <x v="254"/>
    <n v="63"/>
    <n v="167101.18"/>
    <x v="254"/>
  </r>
  <r>
    <x v="255"/>
    <n v="73"/>
    <n v="166751.57999999999"/>
    <x v="255"/>
  </r>
  <r>
    <x v="256"/>
    <n v="65"/>
    <n v="165873.24"/>
    <x v="256"/>
  </r>
  <r>
    <x v="257"/>
    <n v="68"/>
    <n v="165595.26"/>
    <x v="257"/>
  </r>
  <r>
    <x v="258"/>
    <n v="60"/>
    <n v="165350.94"/>
    <x v="258"/>
  </r>
  <r>
    <x v="259"/>
    <n v="63"/>
    <n v="165096.95999999999"/>
    <x v="259"/>
  </r>
  <r>
    <x v="260"/>
    <n v="67"/>
    <n v="164701.46"/>
    <x v="260"/>
  </r>
  <r>
    <x v="261"/>
    <n v="61"/>
    <n v="164349.68"/>
    <x v="261"/>
  </r>
  <r>
    <x v="262"/>
    <n v="66"/>
    <n v="164022.53"/>
    <x v="262"/>
  </r>
  <r>
    <x v="263"/>
    <n v="61"/>
    <n v="163964.76999999999"/>
    <x v="263"/>
  </r>
  <r>
    <x v="264"/>
    <n v="72"/>
    <n v="163842.53"/>
    <x v="264"/>
  </r>
  <r>
    <x v="265"/>
    <n v="66"/>
    <n v="163556.15"/>
    <x v="265"/>
  </r>
  <r>
    <x v="266"/>
    <n v="64"/>
    <n v="163221.81"/>
    <x v="266"/>
  </r>
  <r>
    <x v="267"/>
    <n v="68"/>
    <n v="162631.09"/>
    <x v="267"/>
  </r>
  <r>
    <x v="268"/>
    <n v="70"/>
    <n v="162597.07"/>
    <x v="268"/>
  </r>
  <r>
    <x v="269"/>
    <n v="72"/>
    <n v="162484.85999999999"/>
    <x v="269"/>
  </r>
  <r>
    <x v="270"/>
    <n v="68"/>
    <n v="162209.71"/>
    <x v="270"/>
  </r>
  <r>
    <x v="271"/>
    <n v="69"/>
    <n v="161910.20000000001"/>
    <x v="271"/>
  </r>
  <r>
    <x v="272"/>
    <n v="68"/>
    <n v="161657.19"/>
    <x v="272"/>
  </r>
  <r>
    <x v="273"/>
    <n v="66"/>
    <n v="161351.44"/>
    <x v="273"/>
  </r>
  <r>
    <x v="274"/>
    <n v="64"/>
    <n v="161080.39000000001"/>
    <x v="274"/>
  </r>
  <r>
    <x v="275"/>
    <n v="64"/>
    <n v="161033.49"/>
    <x v="275"/>
  </r>
  <r>
    <x v="276"/>
    <n v="58"/>
    <n v="160929.97"/>
    <x v="276"/>
  </r>
  <r>
    <x v="277"/>
    <n v="59"/>
    <n v="160843.51"/>
    <x v="277"/>
  </r>
  <r>
    <x v="278"/>
    <n v="65"/>
    <n v="160728.06"/>
    <x v="278"/>
  </r>
  <r>
    <x v="279"/>
    <n v="59"/>
    <n v="160688.01"/>
    <x v="279"/>
  </r>
  <r>
    <x v="280"/>
    <n v="68"/>
    <n v="160432.91"/>
    <x v="280"/>
  </r>
  <r>
    <x v="281"/>
    <n v="70"/>
    <n v="160307.26"/>
    <x v="281"/>
  </r>
  <r>
    <x v="282"/>
    <n v="57"/>
    <n v="160160.95000000001"/>
    <x v="282"/>
  </r>
  <r>
    <x v="283"/>
    <n v="58"/>
    <n v="160128.79"/>
    <x v="283"/>
  </r>
  <r>
    <x v="284"/>
    <n v="63"/>
    <n v="159895.6"/>
    <x v="284"/>
  </r>
  <r>
    <x v="285"/>
    <n v="56"/>
    <n v="159645.54999999999"/>
    <x v="285"/>
  </r>
  <r>
    <x v="286"/>
    <n v="61"/>
    <n v="159624.54"/>
    <x v="286"/>
  </r>
  <r>
    <x v="287"/>
    <n v="64"/>
    <n v="159525.35999999999"/>
    <x v="287"/>
  </r>
  <r>
    <x v="288"/>
    <n v="65"/>
    <n v="158962.95000000001"/>
    <x v="288"/>
  </r>
  <r>
    <x v="289"/>
    <n v="58"/>
    <n v="158858.59"/>
    <x v="289"/>
  </r>
  <r>
    <x v="290"/>
    <n v="65"/>
    <n v="158099.51999999999"/>
    <x v="290"/>
  </r>
  <r>
    <x v="291"/>
    <n v="62"/>
    <n v="157861.46"/>
    <x v="291"/>
  </r>
  <r>
    <x v="292"/>
    <n v="61"/>
    <n v="157744.71"/>
    <x v="292"/>
  </r>
  <r>
    <x v="293"/>
    <n v="66"/>
    <n v="157377.71"/>
    <x v="293"/>
  </r>
  <r>
    <x v="294"/>
    <n v="67"/>
    <n v="156809.51999999999"/>
    <x v="294"/>
  </r>
  <r>
    <x v="295"/>
    <n v="70"/>
    <n v="156562.17000000001"/>
    <x v="295"/>
  </r>
  <r>
    <x v="296"/>
    <n v="62"/>
    <n v="156131.1"/>
    <x v="296"/>
  </r>
  <r>
    <x v="297"/>
    <n v="63"/>
    <n v="156130.12"/>
    <x v="297"/>
  </r>
  <r>
    <x v="298"/>
    <n v="64"/>
    <n v="156109.45000000001"/>
    <x v="298"/>
  </r>
  <r>
    <x v="299"/>
    <n v="59"/>
    <n v="155729.85"/>
    <x v="299"/>
  </r>
  <r>
    <x v="300"/>
    <n v="58"/>
    <n v="155612.26"/>
    <x v="300"/>
  </r>
  <r>
    <x v="301"/>
    <n v="62"/>
    <n v="155532.31"/>
    <x v="301"/>
  </r>
  <r>
    <x v="302"/>
    <n v="62"/>
    <n v="155132.6"/>
    <x v="302"/>
  </r>
  <r>
    <x v="303"/>
    <n v="61"/>
    <n v="154958.26"/>
    <x v="303"/>
  </r>
  <r>
    <x v="304"/>
    <n v="61"/>
    <n v="154843.14000000001"/>
    <x v="304"/>
  </r>
  <r>
    <x v="305"/>
    <n v="61"/>
    <n v="154373.07"/>
    <x v="305"/>
  </r>
  <r>
    <x v="306"/>
    <n v="68"/>
    <n v="154263.35"/>
    <x v="306"/>
  </r>
  <r>
    <x v="307"/>
    <n v="56"/>
    <n v="154094.62"/>
    <x v="307"/>
  </r>
  <r>
    <x v="308"/>
    <n v="63"/>
    <n v="153807.19"/>
    <x v="308"/>
  </r>
  <r>
    <x v="309"/>
    <n v="63"/>
    <n v="153787.23000000001"/>
    <x v="309"/>
  </r>
  <r>
    <x v="310"/>
    <n v="63"/>
    <n v="153704.84"/>
    <x v="310"/>
  </r>
  <r>
    <x v="311"/>
    <n v="60"/>
    <n v="153598.91"/>
    <x v="311"/>
  </r>
  <r>
    <x v="312"/>
    <n v="57"/>
    <n v="153398.70000000001"/>
    <x v="312"/>
  </r>
  <r>
    <x v="313"/>
    <n v="59"/>
    <n v="153193.01"/>
    <x v="313"/>
  </r>
  <r>
    <x v="314"/>
    <n v="68"/>
    <n v="153064.35999999999"/>
    <x v="314"/>
  </r>
  <r>
    <x v="315"/>
    <n v="63"/>
    <n v="152767.32"/>
    <x v="315"/>
  </r>
  <r>
    <x v="316"/>
    <n v="59"/>
    <n v="152629.66"/>
    <x v="316"/>
  </r>
  <r>
    <x v="317"/>
    <n v="63"/>
    <n v="151800.46"/>
    <x v="317"/>
  </r>
  <r>
    <x v="318"/>
    <n v="66"/>
    <n v="151626.32999999999"/>
    <x v="318"/>
  </r>
  <r>
    <x v="319"/>
    <n v="55"/>
    <n v="151506.17000000001"/>
    <x v="319"/>
  </r>
  <r>
    <x v="320"/>
    <n v="59"/>
    <n v="151427"/>
    <x v="320"/>
  </r>
  <r>
    <x v="321"/>
    <n v="64"/>
    <n v="151229.63"/>
    <x v="321"/>
  </r>
  <r>
    <x v="322"/>
    <n v="56"/>
    <n v="150851.64000000001"/>
    <x v="322"/>
  </r>
  <r>
    <x v="323"/>
    <n v="68"/>
    <n v="150701.51"/>
    <x v="323"/>
  </r>
  <r>
    <x v="324"/>
    <n v="58"/>
    <n v="150436.71"/>
    <x v="324"/>
  </r>
  <r>
    <x v="325"/>
    <n v="61"/>
    <n v="150063.54"/>
    <x v="325"/>
  </r>
  <r>
    <x v="326"/>
    <n v="59"/>
    <n v="149978.46"/>
    <x v="326"/>
  </r>
  <r>
    <x v="327"/>
    <n v="64"/>
    <n v="149430.31"/>
    <x v="327"/>
  </r>
  <r>
    <x v="328"/>
    <n v="58"/>
    <n v="148924.89000000001"/>
    <x v="328"/>
  </r>
  <r>
    <x v="329"/>
    <n v="61"/>
    <n v="148696.97"/>
    <x v="329"/>
  </r>
  <r>
    <x v="330"/>
    <n v="64"/>
    <n v="148648"/>
    <x v="330"/>
  </r>
  <r>
    <x v="331"/>
    <n v="64"/>
    <n v="148597.1"/>
    <x v="331"/>
  </r>
  <r>
    <x v="332"/>
    <n v="60"/>
    <n v="148338.9"/>
    <x v="332"/>
  </r>
  <r>
    <x v="333"/>
    <n v="59"/>
    <n v="148195.79"/>
    <x v="333"/>
  </r>
  <r>
    <x v="334"/>
    <n v="58"/>
    <n v="147820.26"/>
    <x v="334"/>
  </r>
  <r>
    <x v="335"/>
    <n v="64"/>
    <n v="147500.70000000001"/>
    <x v="335"/>
  </r>
  <r>
    <x v="336"/>
    <n v="63"/>
    <n v="147190"/>
    <x v="336"/>
  </r>
  <r>
    <x v="337"/>
    <n v="67"/>
    <n v="147088.9"/>
    <x v="337"/>
  </r>
  <r>
    <x v="338"/>
    <n v="60"/>
    <n v="147082.70000000001"/>
    <x v="338"/>
  </r>
  <r>
    <x v="339"/>
    <n v="55"/>
    <n v="147024.06"/>
    <x v="339"/>
  </r>
  <r>
    <x v="340"/>
    <n v="60"/>
    <n v="146952.72"/>
    <x v="340"/>
  </r>
  <r>
    <x v="341"/>
    <n v="59"/>
    <n v="146915.76999999999"/>
    <x v="341"/>
  </r>
  <r>
    <x v="342"/>
    <n v="58"/>
    <n v="146837.70000000001"/>
    <x v="342"/>
  </r>
  <r>
    <x v="343"/>
    <n v="56"/>
    <n v="146774.84"/>
    <x v="343"/>
  </r>
  <r>
    <x v="344"/>
    <n v="56"/>
    <n v="146521.95000000001"/>
    <x v="344"/>
  </r>
  <r>
    <x v="345"/>
    <n v="57"/>
    <n v="146343.46"/>
    <x v="345"/>
  </r>
  <r>
    <x v="346"/>
    <n v="54"/>
    <n v="145959.32999999999"/>
    <x v="346"/>
  </r>
  <r>
    <x v="347"/>
    <n v="56"/>
    <n v="145631.01"/>
    <x v="347"/>
  </r>
  <r>
    <x v="348"/>
    <n v="53"/>
    <n v="145615.07999999999"/>
    <x v="348"/>
  </r>
  <r>
    <x v="349"/>
    <n v="50"/>
    <n v="145599.57"/>
    <x v="349"/>
  </r>
  <r>
    <x v="350"/>
    <n v="60"/>
    <n v="145556.70000000001"/>
    <x v="350"/>
  </r>
  <r>
    <x v="351"/>
    <n v="55"/>
    <n v="145553.29999999999"/>
    <x v="351"/>
  </r>
  <r>
    <x v="352"/>
    <n v="59"/>
    <n v="145446.88"/>
    <x v="352"/>
  </r>
  <r>
    <x v="353"/>
    <n v="60"/>
    <n v="145209.35"/>
    <x v="353"/>
  </r>
  <r>
    <x v="354"/>
    <n v="64"/>
    <n v="145146.45000000001"/>
    <x v="354"/>
  </r>
  <r>
    <x v="355"/>
    <n v="60"/>
    <n v="144813.32999999999"/>
    <x v="355"/>
  </r>
  <r>
    <x v="356"/>
    <n v="56"/>
    <n v="144779.23000000001"/>
    <x v="356"/>
  </r>
  <r>
    <x v="357"/>
    <n v="54"/>
    <n v="144641.21"/>
    <x v="357"/>
  </r>
  <r>
    <x v="358"/>
    <n v="64"/>
    <n v="144605.96"/>
    <x v="358"/>
  </r>
  <r>
    <x v="359"/>
    <n v="63"/>
    <n v="144523.07"/>
    <x v="359"/>
  </r>
  <r>
    <x v="360"/>
    <n v="62"/>
    <n v="144486.98000000001"/>
    <x v="360"/>
  </r>
  <r>
    <x v="361"/>
    <n v="52"/>
    <n v="144222.93"/>
    <x v="361"/>
  </r>
  <r>
    <x v="362"/>
    <n v="61"/>
    <n v="144080.78"/>
    <x v="362"/>
  </r>
  <r>
    <x v="363"/>
    <n v="58"/>
    <n v="143893.69"/>
    <x v="363"/>
  </r>
  <r>
    <x v="364"/>
    <n v="61"/>
    <n v="143726.87"/>
    <x v="364"/>
  </r>
  <r>
    <x v="365"/>
    <n v="62"/>
    <n v="143545.97"/>
    <x v="365"/>
  </r>
  <r>
    <x v="366"/>
    <n v="61"/>
    <n v="143228.28"/>
    <x v="366"/>
  </r>
  <r>
    <x v="367"/>
    <n v="59"/>
    <n v="143184.66"/>
    <x v="367"/>
  </r>
  <r>
    <x v="368"/>
    <n v="58"/>
    <n v="143168.63"/>
    <x v="368"/>
  </r>
  <r>
    <x v="369"/>
    <n v="58"/>
    <n v="143133.66"/>
    <x v="369"/>
  </r>
  <r>
    <x v="370"/>
    <n v="61"/>
    <n v="142939.71"/>
    <x v="370"/>
  </r>
  <r>
    <x v="371"/>
    <n v="60"/>
    <n v="142877.43"/>
    <x v="371"/>
  </r>
  <r>
    <x v="372"/>
    <n v="56"/>
    <n v="142836.26"/>
    <x v="372"/>
  </r>
  <r>
    <x v="373"/>
    <n v="58"/>
    <n v="142784.64000000001"/>
    <x v="373"/>
  </r>
  <r>
    <x v="374"/>
    <n v="61"/>
    <n v="141798.78"/>
    <x v="374"/>
  </r>
  <r>
    <x v="375"/>
    <n v="48"/>
    <n v="141687.37"/>
    <x v="375"/>
  </r>
  <r>
    <x v="376"/>
    <n v="61"/>
    <n v="141505.44"/>
    <x v="376"/>
  </r>
  <r>
    <x v="377"/>
    <n v="56"/>
    <n v="141345.26999999999"/>
    <x v="377"/>
  </r>
  <r>
    <x v="378"/>
    <n v="67"/>
    <n v="140789.07"/>
    <x v="378"/>
  </r>
  <r>
    <x v="379"/>
    <n v="53"/>
    <n v="140608.44"/>
    <x v="379"/>
  </r>
  <r>
    <x v="380"/>
    <n v="55"/>
    <n v="139766.71"/>
    <x v="380"/>
  </r>
  <r>
    <x v="381"/>
    <n v="45"/>
    <n v="139721.66"/>
    <x v="381"/>
  </r>
  <r>
    <x v="382"/>
    <n v="58"/>
    <n v="139590.98000000001"/>
    <x v="382"/>
  </r>
  <r>
    <x v="383"/>
    <n v="51"/>
    <n v="139474.34"/>
    <x v="383"/>
  </r>
  <r>
    <x v="384"/>
    <n v="59"/>
    <n v="139383.89000000001"/>
    <x v="384"/>
  </r>
  <r>
    <x v="385"/>
    <n v="53"/>
    <n v="139129.72"/>
    <x v="385"/>
  </r>
  <r>
    <x v="386"/>
    <n v="55"/>
    <n v="138654.87"/>
    <x v="386"/>
  </r>
  <r>
    <x v="387"/>
    <n v="62"/>
    <n v="138562.42000000001"/>
    <x v="387"/>
  </r>
  <r>
    <x v="388"/>
    <n v="59"/>
    <n v="137480.69"/>
    <x v="388"/>
  </r>
  <r>
    <x v="389"/>
    <n v="53"/>
    <n v="137171.37"/>
    <x v="389"/>
  </r>
  <r>
    <x v="390"/>
    <n v="59"/>
    <n v="137060.64000000001"/>
    <x v="390"/>
  </r>
  <r>
    <x v="391"/>
    <n v="57"/>
    <n v="136952.22"/>
    <x v="391"/>
  </r>
  <r>
    <x v="392"/>
    <n v="57"/>
    <n v="136944.97"/>
    <x v="392"/>
  </r>
  <r>
    <x v="393"/>
    <n v="54"/>
    <n v="136694.53"/>
    <x v="393"/>
  </r>
  <r>
    <x v="394"/>
    <n v="54"/>
    <n v="136589.29999999999"/>
    <x v="394"/>
  </r>
  <r>
    <x v="395"/>
    <n v="60"/>
    <n v="136530.85999999999"/>
    <x v="395"/>
  </r>
  <r>
    <x v="396"/>
    <n v="52"/>
    <n v="136488.26999999999"/>
    <x v="396"/>
  </r>
  <r>
    <x v="397"/>
    <n v="64"/>
    <n v="136335.22"/>
    <x v="397"/>
  </r>
  <r>
    <x v="398"/>
    <n v="51"/>
    <n v="136152.60999999999"/>
    <x v="398"/>
  </r>
  <r>
    <x v="399"/>
    <n v="56"/>
    <n v="135907.70000000001"/>
    <x v="399"/>
  </r>
  <r>
    <x v="400"/>
    <n v="57"/>
    <n v="135649.45000000001"/>
    <x v="400"/>
  </r>
  <r>
    <x v="401"/>
    <n v="51"/>
    <n v="135586.01999999999"/>
    <x v="401"/>
  </r>
  <r>
    <x v="402"/>
    <n v="63"/>
    <n v="135560.07"/>
    <x v="402"/>
  </r>
  <r>
    <x v="403"/>
    <n v="57"/>
    <n v="135517.15"/>
    <x v="403"/>
  </r>
  <r>
    <x v="404"/>
    <n v="56"/>
    <n v="135327.92000000001"/>
    <x v="404"/>
  </r>
  <r>
    <x v="405"/>
    <n v="56"/>
    <n v="135255.69"/>
    <x v="405"/>
  </r>
  <r>
    <x v="406"/>
    <n v="50"/>
    <n v="135152.24"/>
    <x v="406"/>
  </r>
  <r>
    <x v="407"/>
    <n v="60"/>
    <n v="134990.44"/>
    <x v="407"/>
  </r>
  <r>
    <x v="408"/>
    <n v="54"/>
    <n v="134500.14000000001"/>
    <x v="408"/>
  </r>
  <r>
    <x v="409"/>
    <n v="56"/>
    <n v="134404.71"/>
    <x v="409"/>
  </r>
  <r>
    <x v="410"/>
    <n v="56"/>
    <n v="134169.78"/>
    <x v="410"/>
  </r>
  <r>
    <x v="411"/>
    <n v="53"/>
    <n v="133983.29999999999"/>
    <x v="411"/>
  </r>
  <r>
    <x v="412"/>
    <n v="52"/>
    <n v="133858.18"/>
    <x v="412"/>
  </r>
  <r>
    <x v="413"/>
    <n v="52"/>
    <n v="133852.19"/>
    <x v="413"/>
  </r>
  <r>
    <x v="414"/>
    <n v="53"/>
    <n v="133663.13"/>
    <x v="414"/>
  </r>
  <r>
    <x v="415"/>
    <n v="48"/>
    <n v="133125.04999999999"/>
    <x v="415"/>
  </r>
  <r>
    <x v="416"/>
    <n v="52"/>
    <n v="133046.71"/>
    <x v="416"/>
  </r>
  <r>
    <x v="417"/>
    <n v="60"/>
    <n v="132312.78"/>
    <x v="417"/>
  </r>
  <r>
    <x v="418"/>
    <n v="55"/>
    <n v="132207.37"/>
    <x v="418"/>
  </r>
  <r>
    <x v="419"/>
    <n v="60"/>
    <n v="131949.38"/>
    <x v="419"/>
  </r>
  <r>
    <x v="420"/>
    <n v="63"/>
    <n v="131692.51"/>
    <x v="420"/>
  </r>
  <r>
    <x v="421"/>
    <n v="58"/>
    <n v="131660.35999999999"/>
    <x v="421"/>
  </r>
  <r>
    <x v="422"/>
    <n v="55"/>
    <n v="131349.85999999999"/>
    <x v="422"/>
  </r>
  <r>
    <x v="423"/>
    <n v="45"/>
    <n v="130884.67"/>
    <x v="423"/>
  </r>
  <r>
    <x v="424"/>
    <n v="52"/>
    <n v="130797.07"/>
    <x v="424"/>
  </r>
  <r>
    <x v="425"/>
    <n v="57"/>
    <n v="130335.05"/>
    <x v="425"/>
  </r>
  <r>
    <x v="426"/>
    <n v="53"/>
    <n v="129820.22"/>
    <x v="426"/>
  </r>
  <r>
    <x v="427"/>
    <n v="55"/>
    <n v="129533.2"/>
    <x v="427"/>
  </r>
  <r>
    <x v="428"/>
    <n v="52"/>
    <n v="129491.78"/>
    <x v="428"/>
  </r>
  <r>
    <x v="429"/>
    <n v="49"/>
    <n v="129087.14"/>
    <x v="429"/>
  </r>
  <r>
    <x v="430"/>
    <n v="54"/>
    <n v="128914.43"/>
    <x v="430"/>
  </r>
  <r>
    <x v="431"/>
    <n v="59"/>
    <n v="128783.86"/>
    <x v="431"/>
  </r>
  <r>
    <x v="432"/>
    <n v="51"/>
    <n v="128439.76"/>
    <x v="432"/>
  </r>
  <r>
    <x v="433"/>
    <n v="53"/>
    <n v="128123.28"/>
    <x v="433"/>
  </r>
  <r>
    <x v="434"/>
    <n v="56"/>
    <n v="127951.44"/>
    <x v="434"/>
  </r>
  <r>
    <x v="435"/>
    <n v="56"/>
    <n v="127766.01"/>
    <x v="435"/>
  </r>
  <r>
    <x v="436"/>
    <n v="50"/>
    <n v="127610"/>
    <x v="436"/>
  </r>
  <r>
    <x v="437"/>
    <n v="60"/>
    <n v="127024.14"/>
    <x v="437"/>
  </r>
  <r>
    <x v="438"/>
    <n v="52"/>
    <n v="126724.17"/>
    <x v="438"/>
  </r>
  <r>
    <x v="439"/>
    <n v="47"/>
    <n v="126514.32"/>
    <x v="439"/>
  </r>
  <r>
    <x v="440"/>
    <n v="50"/>
    <n v="126509.25"/>
    <x v="440"/>
  </r>
  <r>
    <x v="441"/>
    <n v="51"/>
    <n v="126235.65"/>
    <x v="441"/>
  </r>
  <r>
    <x v="442"/>
    <n v="57"/>
    <n v="125651.09"/>
    <x v="442"/>
  </r>
  <r>
    <x v="443"/>
    <n v="47"/>
    <n v="125409.52"/>
    <x v="443"/>
  </r>
  <r>
    <x v="444"/>
    <n v="47"/>
    <n v="125162.78"/>
    <x v="444"/>
  </r>
  <r>
    <x v="445"/>
    <n v="48"/>
    <n v="125136.02"/>
    <x v="445"/>
  </r>
  <r>
    <x v="446"/>
    <n v="54"/>
    <n v="124909.96"/>
    <x v="446"/>
  </r>
  <r>
    <x v="447"/>
    <n v="53"/>
    <n v="124566.36"/>
    <x v="447"/>
  </r>
  <r>
    <x v="448"/>
    <n v="51"/>
    <n v="124296.72"/>
    <x v="448"/>
  </r>
  <r>
    <x v="449"/>
    <n v="60"/>
    <n v="123670.74"/>
    <x v="449"/>
  </r>
  <r>
    <x v="450"/>
    <n v="47"/>
    <n v="123503.15"/>
    <x v="450"/>
  </r>
  <r>
    <x v="451"/>
    <n v="46"/>
    <n v="122996.54"/>
    <x v="451"/>
  </r>
  <r>
    <x v="452"/>
    <n v="54"/>
    <n v="122987.23"/>
    <x v="452"/>
  </r>
  <r>
    <x v="453"/>
    <n v="45"/>
    <n v="122411.72"/>
    <x v="453"/>
  </r>
  <r>
    <x v="454"/>
    <n v="44"/>
    <n v="122278.36"/>
    <x v="454"/>
  </r>
  <r>
    <x v="455"/>
    <n v="50"/>
    <n v="122142"/>
    <x v="455"/>
  </r>
  <r>
    <x v="456"/>
    <n v="56"/>
    <n v="122030.89"/>
    <x v="456"/>
  </r>
  <r>
    <x v="457"/>
    <n v="49"/>
    <n v="121715.31"/>
    <x v="457"/>
  </r>
  <r>
    <x v="458"/>
    <n v="52"/>
    <n v="121437.3"/>
    <x v="458"/>
  </r>
  <r>
    <x v="459"/>
    <n v="48"/>
    <n v="121316.19"/>
    <x v="459"/>
  </r>
  <r>
    <x v="460"/>
    <n v="56"/>
    <n v="121249.26"/>
    <x v="460"/>
  </r>
  <r>
    <x v="461"/>
    <n v="59"/>
    <n v="121244.74"/>
    <x v="461"/>
  </r>
  <r>
    <x v="462"/>
    <n v="44"/>
    <n v="118751.5"/>
    <x v="462"/>
  </r>
  <r>
    <x v="463"/>
    <n v="54"/>
    <n v="118578.97"/>
    <x v="463"/>
  </r>
  <r>
    <x v="464"/>
    <n v="46"/>
    <n v="118234.43"/>
    <x v="464"/>
  </r>
  <r>
    <x v="465"/>
    <n v="50"/>
    <n v="116839.69"/>
    <x v="465"/>
  </r>
  <r>
    <x v="466"/>
    <n v="39"/>
    <n v="116767.07"/>
    <x v="466"/>
  </r>
  <r>
    <x v="467"/>
    <n v="49"/>
    <n v="116142.28"/>
    <x v="467"/>
  </r>
  <r>
    <x v="468"/>
    <n v="43"/>
    <n v="116109.31"/>
    <x v="468"/>
  </r>
  <r>
    <x v="469"/>
    <n v="44"/>
    <n v="115846.1"/>
    <x v="469"/>
  </r>
  <r>
    <x v="470"/>
    <n v="49"/>
    <n v="115131.34"/>
    <x v="470"/>
  </r>
  <r>
    <x v="471"/>
    <n v="55"/>
    <n v="113968.51"/>
    <x v="471"/>
  </r>
  <r>
    <x v="472"/>
    <n v="48"/>
    <n v="113930.6"/>
    <x v="472"/>
  </r>
  <r>
    <x v="473"/>
    <n v="60"/>
    <n v="113869.74"/>
    <x v="473"/>
  </r>
  <r>
    <x v="474"/>
    <n v="54"/>
    <n v="112693.52"/>
    <x v="474"/>
  </r>
  <r>
    <x v="475"/>
    <n v="50"/>
    <n v="112528.08"/>
    <x v="475"/>
  </r>
  <r>
    <x v="476"/>
    <n v="46"/>
    <n v="111777.46"/>
    <x v="476"/>
  </r>
  <r>
    <x v="477"/>
    <n v="38"/>
    <n v="110917.97"/>
    <x v="477"/>
  </r>
  <r>
    <x v="478"/>
    <n v="36"/>
    <n v="110274.93"/>
    <x v="478"/>
  </r>
  <r>
    <x v="479"/>
    <n v="49"/>
    <n v="109804.35"/>
    <x v="479"/>
  </r>
  <r>
    <x v="480"/>
    <n v="49"/>
    <n v="108740.03"/>
    <x v="480"/>
  </r>
  <r>
    <x v="481"/>
    <n v="48"/>
    <n v="108503.38"/>
    <x v="481"/>
  </r>
  <r>
    <x v="482"/>
    <n v="45"/>
    <n v="108148.92"/>
    <x v="482"/>
  </r>
  <r>
    <x v="483"/>
    <n v="43"/>
    <n v="107517.48"/>
    <x v="483"/>
  </r>
  <r>
    <x v="484"/>
    <n v="36"/>
    <n v="107307.33"/>
    <x v="484"/>
  </r>
  <r>
    <x v="485"/>
    <n v="48"/>
    <n v="107249.28"/>
    <x v="485"/>
  </r>
  <r>
    <x v="486"/>
    <n v="50"/>
    <n v="106903.24"/>
    <x v="486"/>
  </r>
  <r>
    <x v="487"/>
    <n v="38"/>
    <n v="106632.82"/>
    <x v="487"/>
  </r>
  <r>
    <x v="488"/>
    <n v="45"/>
    <n v="106434.09"/>
    <x v="488"/>
  </r>
  <r>
    <x v="489"/>
    <n v="45"/>
    <n v="106133.17"/>
    <x v="489"/>
  </r>
  <r>
    <x v="490"/>
    <n v="48"/>
    <n v="105969.97"/>
    <x v="490"/>
  </r>
  <r>
    <x v="491"/>
    <n v="40"/>
    <n v="104739.77"/>
    <x v="491"/>
  </r>
  <r>
    <x v="492"/>
    <n v="35"/>
    <n v="103589.41"/>
    <x v="492"/>
  </r>
  <r>
    <x v="493"/>
    <n v="43"/>
    <n v="102025.36"/>
    <x v="493"/>
  </r>
  <r>
    <x v="494"/>
    <n v="39"/>
    <n v="101978.86"/>
    <x v="494"/>
  </r>
  <r>
    <x v="495"/>
    <n v="39"/>
    <n v="101682.25"/>
    <x v="495"/>
  </r>
  <r>
    <x v="496"/>
    <n v="34"/>
    <n v="101379.84"/>
    <x v="496"/>
  </r>
  <r>
    <x v="497"/>
    <n v="37"/>
    <n v="100844.05"/>
    <x v="497"/>
  </r>
  <r>
    <x v="498"/>
    <n v="43"/>
    <n v="100683.75"/>
    <x v="498"/>
  </r>
  <r>
    <x v="499"/>
    <n v="35"/>
    <n v="100224.89"/>
    <x v="499"/>
  </r>
  <r>
    <x v="500"/>
    <n v="32"/>
    <n v="100198.25"/>
    <x v="500"/>
  </r>
  <r>
    <x v="501"/>
    <n v="40"/>
    <n v="100067.21"/>
    <x v="501"/>
  </r>
  <r>
    <x v="502"/>
    <n v="38"/>
    <n v="99299.97"/>
    <x v="502"/>
  </r>
  <r>
    <x v="503"/>
    <n v="38"/>
    <n v="99284.46"/>
    <x v="503"/>
  </r>
  <r>
    <x v="504"/>
    <n v="44"/>
    <n v="99053.92"/>
    <x v="504"/>
  </r>
  <r>
    <x v="505"/>
    <n v="35"/>
    <n v="98732.2"/>
    <x v="505"/>
  </r>
  <r>
    <x v="506"/>
    <n v="34"/>
    <n v="98713.46"/>
    <x v="506"/>
  </r>
  <r>
    <x v="507"/>
    <n v="37"/>
    <n v="98475.49"/>
    <x v="507"/>
  </r>
  <r>
    <x v="508"/>
    <n v="33"/>
    <n v="98457.59"/>
    <x v="508"/>
  </r>
  <r>
    <x v="509"/>
    <n v="32"/>
    <n v="98297.88"/>
    <x v="509"/>
  </r>
  <r>
    <x v="510"/>
    <n v="32"/>
    <n v="98249.77"/>
    <x v="510"/>
  </r>
  <r>
    <x v="511"/>
    <n v="41"/>
    <n v="98100.95"/>
    <x v="511"/>
  </r>
  <r>
    <x v="512"/>
    <n v="37"/>
    <n v="97129.82"/>
    <x v="512"/>
  </r>
  <r>
    <x v="513"/>
    <n v="40"/>
    <n v="97104.77"/>
    <x v="513"/>
  </r>
  <r>
    <x v="514"/>
    <n v="33"/>
    <n v="97004.95"/>
    <x v="514"/>
  </r>
  <r>
    <x v="515"/>
    <n v="33"/>
    <n v="96896.69"/>
    <x v="515"/>
  </r>
  <r>
    <x v="516"/>
    <n v="37"/>
    <n v="96846.2"/>
    <x v="516"/>
  </r>
  <r>
    <x v="517"/>
    <n v="34"/>
    <n v="96473.73"/>
    <x v="517"/>
  </r>
  <r>
    <x v="518"/>
    <n v="32"/>
    <n v="96269.64"/>
    <x v="518"/>
  </r>
  <r>
    <x v="519"/>
    <n v="40"/>
    <n v="96144.29"/>
    <x v="519"/>
  </r>
  <r>
    <x v="520"/>
    <n v="36"/>
    <n v="95719.01"/>
    <x v="520"/>
  </r>
  <r>
    <x v="521"/>
    <n v="39"/>
    <n v="95501.119999999995"/>
    <x v="521"/>
  </r>
  <r>
    <x v="522"/>
    <n v="36"/>
    <n v="94790.56"/>
    <x v="522"/>
  </r>
  <r>
    <x v="523"/>
    <n v="39"/>
    <n v="94736.46"/>
    <x v="523"/>
  </r>
  <r>
    <x v="524"/>
    <n v="45"/>
    <n v="94476.56"/>
    <x v="524"/>
  </r>
  <r>
    <x v="525"/>
    <n v="32"/>
    <n v="94351.12"/>
    <x v="525"/>
  </r>
  <r>
    <x v="526"/>
    <n v="34"/>
    <n v="94119.33"/>
    <x v="526"/>
  </r>
  <r>
    <x v="527"/>
    <n v="32"/>
    <n v="93491.58"/>
    <x v="527"/>
  </r>
  <r>
    <x v="528"/>
    <n v="42"/>
    <n v="93187.23"/>
    <x v="528"/>
  </r>
  <r>
    <x v="529"/>
    <n v="35"/>
    <n v="92772.52"/>
    <x v="529"/>
  </r>
  <r>
    <x v="530"/>
    <n v="36"/>
    <n v="92456.44"/>
    <x v="530"/>
  </r>
  <r>
    <x v="531"/>
    <n v="34"/>
    <n v="92026.16"/>
    <x v="531"/>
  </r>
  <r>
    <x v="532"/>
    <n v="30"/>
    <n v="91993.07"/>
    <x v="532"/>
  </r>
  <r>
    <x v="533"/>
    <n v="34"/>
    <n v="91950.37"/>
    <x v="533"/>
  </r>
  <r>
    <x v="534"/>
    <n v="35"/>
    <n v="91920.07"/>
    <x v="534"/>
  </r>
  <r>
    <x v="535"/>
    <n v="34"/>
    <n v="91655.57"/>
    <x v="535"/>
  </r>
  <r>
    <x v="536"/>
    <n v="36"/>
    <n v="91635.45"/>
    <x v="536"/>
  </r>
  <r>
    <x v="537"/>
    <n v="33"/>
    <n v="91168.03"/>
    <x v="537"/>
  </r>
  <r>
    <x v="538"/>
    <n v="32"/>
    <n v="91090.75"/>
    <x v="538"/>
  </r>
  <r>
    <x v="539"/>
    <n v="36"/>
    <n v="90763.08"/>
    <x v="539"/>
  </r>
  <r>
    <x v="540"/>
    <n v="34"/>
    <n v="90708.47"/>
    <x v="540"/>
  </r>
  <r>
    <x v="541"/>
    <n v="30"/>
    <n v="90655.3"/>
    <x v="541"/>
  </r>
  <r>
    <x v="542"/>
    <n v="33"/>
    <n v="90636.97"/>
    <x v="542"/>
  </r>
  <r>
    <x v="543"/>
    <n v="31"/>
    <n v="90549.15"/>
    <x v="543"/>
  </r>
  <r>
    <x v="544"/>
    <n v="36"/>
    <n v="90536.44"/>
    <x v="544"/>
  </r>
  <r>
    <x v="545"/>
    <n v="31"/>
    <n v="90147.41"/>
    <x v="545"/>
  </r>
  <r>
    <x v="546"/>
    <n v="38"/>
    <n v="90105.46"/>
    <x v="546"/>
  </r>
  <r>
    <x v="547"/>
    <n v="34"/>
    <n v="90087.86"/>
    <x v="547"/>
  </r>
  <r>
    <x v="548"/>
    <n v="38"/>
    <n v="90087.45"/>
    <x v="548"/>
  </r>
  <r>
    <x v="549"/>
    <n v="36"/>
    <n v="89685.17"/>
    <x v="549"/>
  </r>
  <r>
    <x v="550"/>
    <n v="35"/>
    <n v="89579.51"/>
    <x v="550"/>
  </r>
  <r>
    <x v="551"/>
    <n v="33"/>
    <n v="89569.67"/>
    <x v="551"/>
  </r>
  <r>
    <x v="552"/>
    <n v="32"/>
    <n v="89288.62"/>
    <x v="552"/>
  </r>
  <r>
    <x v="553"/>
    <n v="39"/>
    <n v="88943.82"/>
    <x v="553"/>
  </r>
  <r>
    <x v="554"/>
    <n v="36"/>
    <n v="88781.18"/>
    <x v="554"/>
  </r>
  <r>
    <x v="555"/>
    <n v="37"/>
    <n v="88654.36"/>
    <x v="555"/>
  </r>
  <r>
    <x v="556"/>
    <n v="31"/>
    <n v="88616.67"/>
    <x v="556"/>
  </r>
  <r>
    <x v="557"/>
    <n v="32"/>
    <n v="88462.82"/>
    <x v="557"/>
  </r>
  <r>
    <x v="558"/>
    <n v="31"/>
    <n v="88343.86"/>
    <x v="558"/>
  </r>
  <r>
    <x v="559"/>
    <n v="37"/>
    <n v="88251.67"/>
    <x v="559"/>
  </r>
  <r>
    <x v="560"/>
    <n v="31"/>
    <n v="88096.61"/>
    <x v="560"/>
  </r>
  <r>
    <x v="561"/>
    <n v="38"/>
    <n v="87899.58"/>
    <x v="561"/>
  </r>
  <r>
    <x v="562"/>
    <n v="39"/>
    <n v="87805.57"/>
    <x v="562"/>
  </r>
  <r>
    <x v="563"/>
    <n v="32"/>
    <n v="87795.839999999997"/>
    <x v="563"/>
  </r>
  <r>
    <x v="564"/>
    <n v="33"/>
    <n v="87728.22"/>
    <x v="564"/>
  </r>
  <r>
    <x v="565"/>
    <n v="36"/>
    <n v="87495.83"/>
    <x v="565"/>
  </r>
  <r>
    <x v="566"/>
    <n v="33"/>
    <n v="87120.47"/>
    <x v="566"/>
  </r>
  <r>
    <x v="567"/>
    <n v="39"/>
    <n v="87035.3"/>
    <x v="567"/>
  </r>
  <r>
    <x v="568"/>
    <n v="33"/>
    <n v="86453.19"/>
    <x v="568"/>
  </r>
  <r>
    <x v="569"/>
    <n v="38"/>
    <n v="86210.86"/>
    <x v="569"/>
  </r>
  <r>
    <x v="570"/>
    <n v="31"/>
    <n v="85827.06"/>
    <x v="570"/>
  </r>
  <r>
    <x v="571"/>
    <n v="32"/>
    <n v="85513.14"/>
    <x v="571"/>
  </r>
  <r>
    <x v="572"/>
    <n v="37"/>
    <n v="85492.49"/>
    <x v="572"/>
  </r>
  <r>
    <x v="573"/>
    <n v="30"/>
    <n v="85348.41"/>
    <x v="573"/>
  </r>
  <r>
    <x v="574"/>
    <n v="33"/>
    <n v="85010.52"/>
    <x v="574"/>
  </r>
  <r>
    <x v="575"/>
    <n v="40"/>
    <n v="84866.28"/>
    <x v="575"/>
  </r>
  <r>
    <x v="576"/>
    <n v="34"/>
    <n v="84639.679999999993"/>
    <x v="576"/>
  </r>
  <r>
    <x v="577"/>
    <n v="29"/>
    <n v="84621.11"/>
    <x v="577"/>
  </r>
  <r>
    <x v="578"/>
    <n v="33"/>
    <n v="84556.84"/>
    <x v="578"/>
  </r>
  <r>
    <x v="579"/>
    <n v="32"/>
    <n v="84550.85"/>
    <x v="579"/>
  </r>
  <r>
    <x v="580"/>
    <n v="28"/>
    <n v="84494.37"/>
    <x v="580"/>
  </r>
  <r>
    <x v="581"/>
    <n v="30"/>
    <n v="84451.15"/>
    <x v="581"/>
  </r>
  <r>
    <x v="582"/>
    <n v="33"/>
    <n v="84366.52"/>
    <x v="582"/>
  </r>
  <r>
    <x v="583"/>
    <n v="35"/>
    <n v="84206.65"/>
    <x v="583"/>
  </r>
  <r>
    <x v="584"/>
    <n v="31"/>
    <n v="84088.86"/>
    <x v="584"/>
  </r>
  <r>
    <x v="585"/>
    <n v="32"/>
    <n v="84031.6"/>
    <x v="585"/>
  </r>
  <r>
    <x v="586"/>
    <n v="32"/>
    <n v="83987.88"/>
    <x v="586"/>
  </r>
  <r>
    <x v="587"/>
    <n v="33"/>
    <n v="83977.18"/>
    <x v="587"/>
  </r>
  <r>
    <x v="588"/>
    <n v="33"/>
    <n v="83923.02"/>
    <x v="588"/>
  </r>
  <r>
    <x v="589"/>
    <n v="35"/>
    <n v="83903.43"/>
    <x v="589"/>
  </r>
  <r>
    <x v="590"/>
    <n v="33"/>
    <n v="83709.7"/>
    <x v="590"/>
  </r>
  <r>
    <x v="591"/>
    <n v="32"/>
    <n v="83670.820000000007"/>
    <x v="591"/>
  </r>
  <r>
    <x v="592"/>
    <n v="33"/>
    <n v="83560.53"/>
    <x v="592"/>
  </r>
  <r>
    <x v="593"/>
    <n v="37"/>
    <n v="83490.259999999995"/>
    <x v="593"/>
  </r>
  <r>
    <x v="594"/>
    <n v="35"/>
    <n v="83446.990000000005"/>
    <x v="594"/>
  </r>
  <r>
    <x v="595"/>
    <n v="31"/>
    <n v="83437.460000000006"/>
    <x v="595"/>
  </r>
  <r>
    <x v="596"/>
    <n v="32"/>
    <n v="83356.37"/>
    <x v="596"/>
  </r>
  <r>
    <x v="597"/>
    <n v="33"/>
    <n v="83309"/>
    <x v="597"/>
  </r>
  <r>
    <x v="598"/>
    <n v="29"/>
    <n v="82999.22"/>
    <x v="598"/>
  </r>
  <r>
    <x v="599"/>
    <n v="31"/>
    <n v="82965.89"/>
    <x v="599"/>
  </r>
  <r>
    <x v="600"/>
    <n v="31"/>
    <n v="82960.570000000007"/>
    <x v="600"/>
  </r>
  <r>
    <x v="601"/>
    <n v="29"/>
    <n v="82871.47"/>
    <x v="601"/>
  </r>
  <r>
    <x v="602"/>
    <n v="33"/>
    <n v="82805.05"/>
    <x v="602"/>
  </r>
  <r>
    <x v="603"/>
    <n v="36"/>
    <n v="82795.66"/>
    <x v="603"/>
  </r>
  <r>
    <x v="604"/>
    <n v="28"/>
    <n v="82761.279999999999"/>
    <x v="604"/>
  </r>
  <r>
    <x v="605"/>
    <n v="33"/>
    <n v="82519.06"/>
    <x v="605"/>
  </r>
  <r>
    <x v="606"/>
    <n v="34"/>
    <n v="82488.63"/>
    <x v="606"/>
  </r>
  <r>
    <x v="607"/>
    <n v="29"/>
    <n v="82436.02"/>
    <x v="607"/>
  </r>
  <r>
    <x v="608"/>
    <n v="39"/>
    <n v="82414.600000000006"/>
    <x v="608"/>
  </r>
  <r>
    <x v="609"/>
    <n v="36"/>
    <n v="82378.740000000005"/>
    <x v="609"/>
  </r>
  <r>
    <x v="610"/>
    <n v="37"/>
    <n v="82208.570000000007"/>
    <x v="610"/>
  </r>
  <r>
    <x v="611"/>
    <n v="25"/>
    <n v="82144.06"/>
    <x v="611"/>
  </r>
  <r>
    <x v="612"/>
    <n v="39"/>
    <n v="81924.36"/>
    <x v="612"/>
  </r>
  <r>
    <x v="613"/>
    <n v="34"/>
    <n v="81758.36"/>
    <x v="613"/>
  </r>
  <r>
    <x v="614"/>
    <n v="34"/>
    <n v="81735.48"/>
    <x v="614"/>
  </r>
  <r>
    <x v="615"/>
    <n v="33"/>
    <n v="81728.460000000006"/>
    <x v="615"/>
  </r>
  <r>
    <x v="616"/>
    <n v="36"/>
    <n v="81668.039999999994"/>
    <x v="616"/>
  </r>
  <r>
    <x v="617"/>
    <n v="31"/>
    <n v="81603.38"/>
    <x v="617"/>
  </r>
  <r>
    <x v="618"/>
    <n v="32"/>
    <n v="81490.929999999993"/>
    <x v="618"/>
  </r>
  <r>
    <x v="619"/>
    <n v="31"/>
    <n v="81441"/>
    <x v="619"/>
  </r>
  <r>
    <x v="620"/>
    <n v="33"/>
    <n v="81407.509999999995"/>
    <x v="620"/>
  </r>
  <r>
    <x v="621"/>
    <n v="32"/>
    <n v="81351.78"/>
    <x v="621"/>
  </r>
  <r>
    <x v="622"/>
    <n v="33"/>
    <n v="81325.509999999995"/>
    <x v="622"/>
  </r>
  <r>
    <x v="623"/>
    <n v="34"/>
    <n v="81307.78"/>
    <x v="623"/>
  </r>
  <r>
    <x v="624"/>
    <n v="33"/>
    <n v="81290.259999999995"/>
    <x v="624"/>
  </r>
  <r>
    <x v="625"/>
    <n v="34"/>
    <n v="81111.3"/>
    <x v="625"/>
  </r>
  <r>
    <x v="626"/>
    <n v="33"/>
    <n v="80966.070000000007"/>
    <x v="626"/>
  </r>
  <r>
    <x v="627"/>
    <n v="31"/>
    <n v="80942.899999999994"/>
    <x v="627"/>
  </r>
  <r>
    <x v="628"/>
    <n v="30"/>
    <n v="80505.38"/>
    <x v="628"/>
  </r>
  <r>
    <x v="629"/>
    <n v="32"/>
    <n v="80461.84"/>
    <x v="629"/>
  </r>
  <r>
    <x v="630"/>
    <n v="33"/>
    <n v="80335.47"/>
    <x v="630"/>
  </r>
  <r>
    <x v="631"/>
    <n v="30"/>
    <n v="80198.240000000005"/>
    <x v="631"/>
  </r>
  <r>
    <x v="632"/>
    <n v="29"/>
    <n v="79927.429999999993"/>
    <x v="632"/>
  </r>
  <r>
    <x v="633"/>
    <n v="31"/>
    <n v="79576.38"/>
    <x v="633"/>
  </r>
  <r>
    <x v="634"/>
    <n v="30"/>
    <n v="79538.759999999995"/>
    <x v="634"/>
  </r>
  <r>
    <x v="635"/>
    <n v="34"/>
    <n v="79482.17"/>
    <x v="635"/>
  </r>
  <r>
    <x v="636"/>
    <n v="31"/>
    <n v="79481.41"/>
    <x v="636"/>
  </r>
  <r>
    <x v="637"/>
    <n v="30"/>
    <n v="79255.59"/>
    <x v="637"/>
  </r>
  <r>
    <x v="638"/>
    <n v="32"/>
    <n v="78893.02"/>
    <x v="638"/>
  </r>
  <r>
    <x v="639"/>
    <n v="29"/>
    <n v="78870.11"/>
    <x v="639"/>
  </r>
  <r>
    <x v="640"/>
    <n v="31"/>
    <n v="78690.05"/>
    <x v="640"/>
  </r>
  <r>
    <x v="641"/>
    <n v="31"/>
    <n v="78652.570000000007"/>
    <x v="641"/>
  </r>
  <r>
    <x v="642"/>
    <n v="30"/>
    <n v="78470.259999999995"/>
    <x v="642"/>
  </r>
  <r>
    <x v="643"/>
    <n v="30"/>
    <n v="78443.38"/>
    <x v="643"/>
  </r>
  <r>
    <x v="644"/>
    <n v="34"/>
    <n v="78408.479999999996"/>
    <x v="644"/>
  </r>
  <r>
    <x v="645"/>
    <n v="27"/>
    <n v="78405.77"/>
    <x v="645"/>
  </r>
  <r>
    <x v="646"/>
    <n v="33"/>
    <n v="78352.69"/>
    <x v="646"/>
  </r>
  <r>
    <x v="647"/>
    <n v="28"/>
    <n v="78321.02"/>
    <x v="647"/>
  </r>
  <r>
    <x v="648"/>
    <n v="29"/>
    <n v="78228.09"/>
    <x v="648"/>
  </r>
  <r>
    <x v="649"/>
    <n v="30"/>
    <n v="77983.070000000007"/>
    <x v="649"/>
  </r>
  <r>
    <x v="650"/>
    <n v="32"/>
    <n v="77899.47"/>
    <x v="650"/>
  </r>
  <r>
    <x v="651"/>
    <n v="34"/>
    <n v="77886.55"/>
    <x v="651"/>
  </r>
  <r>
    <x v="652"/>
    <n v="29"/>
    <n v="77766.11"/>
    <x v="652"/>
  </r>
  <r>
    <x v="653"/>
    <n v="28"/>
    <n v="77440.460000000006"/>
    <x v="653"/>
  </r>
  <r>
    <x v="654"/>
    <n v="32"/>
    <n v="77241.16"/>
    <x v="654"/>
  </r>
  <r>
    <x v="655"/>
    <n v="35"/>
    <n v="77205.83"/>
    <x v="655"/>
  </r>
  <r>
    <x v="656"/>
    <n v="34"/>
    <n v="77160.11"/>
    <x v="656"/>
  </r>
  <r>
    <x v="657"/>
    <n v="34"/>
    <n v="77147.59"/>
    <x v="657"/>
  </r>
  <r>
    <x v="658"/>
    <n v="30"/>
    <n v="77131.08"/>
    <x v="658"/>
  </r>
  <r>
    <x v="659"/>
    <n v="29"/>
    <n v="77046.710000000006"/>
    <x v="659"/>
  </r>
  <r>
    <x v="660"/>
    <n v="34"/>
    <n v="76982.13"/>
    <x v="660"/>
  </r>
  <r>
    <x v="661"/>
    <n v="37"/>
    <n v="76823.240000000005"/>
    <x v="661"/>
  </r>
  <r>
    <x v="662"/>
    <n v="28"/>
    <n v="76670.259999999995"/>
    <x v="662"/>
  </r>
  <r>
    <x v="663"/>
    <n v="29"/>
    <n v="76206.03"/>
    <x v="663"/>
  </r>
  <r>
    <x v="664"/>
    <n v="31"/>
    <n v="75940.350000000006"/>
    <x v="664"/>
  </r>
  <r>
    <x v="665"/>
    <n v="28"/>
    <n v="75840.23"/>
    <x v="665"/>
  </r>
  <r>
    <x v="666"/>
    <n v="31"/>
    <n v="75546.23"/>
    <x v="666"/>
  </r>
  <r>
    <x v="667"/>
    <n v="30"/>
    <n v="75307.08"/>
    <x v="667"/>
  </r>
  <r>
    <x v="668"/>
    <n v="31"/>
    <n v="75193.429999999993"/>
    <x v="668"/>
  </r>
  <r>
    <x v="669"/>
    <n v="34"/>
    <n v="74937.73"/>
    <x v="669"/>
  </r>
  <r>
    <x v="670"/>
    <n v="28"/>
    <n v="74912.22"/>
    <x v="670"/>
  </r>
  <r>
    <x v="671"/>
    <n v="34"/>
    <n v="74895.95"/>
    <x v="671"/>
  </r>
  <r>
    <x v="672"/>
    <n v="33"/>
    <n v="74887.850000000006"/>
    <x v="672"/>
  </r>
  <r>
    <x v="673"/>
    <n v="28"/>
    <n v="74745.31"/>
    <x v="673"/>
  </r>
  <r>
    <x v="674"/>
    <n v="30"/>
    <n v="74521.41"/>
    <x v="674"/>
  </r>
  <r>
    <x v="675"/>
    <n v="28"/>
    <n v="73639.710000000006"/>
    <x v="675"/>
  </r>
  <r>
    <x v="676"/>
    <n v="28"/>
    <n v="73310.490000000005"/>
    <x v="676"/>
  </r>
  <r>
    <x v="677"/>
    <n v="28"/>
    <n v="73187.19"/>
    <x v="677"/>
  </r>
  <r>
    <x v="678"/>
    <n v="32"/>
    <n v="73006.509999999995"/>
    <x v="678"/>
  </r>
  <r>
    <x v="679"/>
    <n v="26"/>
    <n v="72984.03"/>
    <x v="679"/>
  </r>
  <r>
    <x v="680"/>
    <n v="27"/>
    <n v="72866.44"/>
    <x v="680"/>
  </r>
  <r>
    <x v="681"/>
    <n v="25"/>
    <n v="72732.100000000006"/>
    <x v="681"/>
  </r>
  <r>
    <x v="682"/>
    <n v="27"/>
    <n v="72464.75"/>
    <x v="682"/>
  </r>
  <r>
    <x v="683"/>
    <n v="25"/>
    <n v="72317.600000000006"/>
    <x v="683"/>
  </r>
  <r>
    <x v="684"/>
    <n v="28"/>
    <n v="72197.19"/>
    <x v="684"/>
  </r>
  <r>
    <x v="685"/>
    <n v="36"/>
    <n v="72062.86"/>
    <x v="685"/>
  </r>
  <r>
    <x v="686"/>
    <n v="30"/>
    <n v="71981.2"/>
    <x v="686"/>
  </r>
  <r>
    <x v="687"/>
    <n v="28"/>
    <n v="71846.78"/>
    <x v="687"/>
  </r>
  <r>
    <x v="688"/>
    <n v="29"/>
    <n v="71825.070000000007"/>
    <x v="688"/>
  </r>
  <r>
    <x v="689"/>
    <n v="26"/>
    <n v="71619.33"/>
    <x v="689"/>
  </r>
  <r>
    <x v="690"/>
    <n v="28"/>
    <n v="71594.69"/>
    <x v="690"/>
  </r>
  <r>
    <x v="691"/>
    <n v="28"/>
    <n v="71457.350000000006"/>
    <x v="691"/>
  </r>
  <r>
    <x v="692"/>
    <n v="29"/>
    <n v="71285.19"/>
    <x v="692"/>
  </r>
  <r>
    <x v="693"/>
    <n v="32"/>
    <n v="71193.289999999994"/>
    <x v="693"/>
  </r>
  <r>
    <x v="694"/>
    <n v="28"/>
    <n v="71114.559999999998"/>
    <x v="694"/>
  </r>
  <r>
    <x v="695"/>
    <n v="28"/>
    <n v="70983.47"/>
    <x v="695"/>
  </r>
  <r>
    <x v="696"/>
    <n v="30"/>
    <n v="70966.39"/>
    <x v="696"/>
  </r>
  <r>
    <x v="697"/>
    <n v="30"/>
    <n v="70776.63"/>
    <x v="697"/>
  </r>
  <r>
    <x v="698"/>
    <n v="30"/>
    <n v="70738.289999999994"/>
    <x v="698"/>
  </r>
  <r>
    <x v="699"/>
    <n v="28"/>
    <n v="70681.52"/>
    <x v="699"/>
  </r>
  <r>
    <x v="700"/>
    <n v="29"/>
    <n v="70641.55"/>
    <x v="700"/>
  </r>
  <r>
    <x v="701"/>
    <n v="30"/>
    <n v="70620.62"/>
    <x v="701"/>
  </r>
  <r>
    <x v="702"/>
    <n v="27"/>
    <n v="70530.25"/>
    <x v="702"/>
  </r>
  <r>
    <x v="703"/>
    <n v="28"/>
    <n v="70462.8"/>
    <x v="703"/>
  </r>
  <r>
    <x v="704"/>
    <n v="27"/>
    <n v="70337.3"/>
    <x v="704"/>
  </r>
  <r>
    <x v="705"/>
    <n v="29"/>
    <n v="70092.259999999995"/>
    <x v="705"/>
  </r>
  <r>
    <x v="706"/>
    <n v="27"/>
    <n v="70020.92"/>
    <x v="706"/>
  </r>
  <r>
    <x v="707"/>
    <n v="29"/>
    <n v="69985.88"/>
    <x v="707"/>
  </r>
  <r>
    <x v="708"/>
    <n v="27"/>
    <n v="69792.75"/>
    <x v="708"/>
  </r>
  <r>
    <x v="709"/>
    <n v="26"/>
    <n v="69756.66"/>
    <x v="709"/>
  </r>
  <r>
    <x v="710"/>
    <n v="28"/>
    <n v="69584.820000000007"/>
    <x v="710"/>
  </r>
  <r>
    <x v="711"/>
    <n v="30"/>
    <n v="69571.67"/>
    <x v="711"/>
  </r>
  <r>
    <x v="712"/>
    <n v="26"/>
    <n v="69553.27"/>
    <x v="712"/>
  </r>
  <r>
    <x v="713"/>
    <n v="34"/>
    <n v="69437.899999999994"/>
    <x v="713"/>
  </r>
  <r>
    <x v="714"/>
    <n v="28"/>
    <n v="69435.649999999994"/>
    <x v="714"/>
  </r>
  <r>
    <x v="715"/>
    <n v="28"/>
    <n v="69392.570000000007"/>
    <x v="715"/>
  </r>
  <r>
    <x v="716"/>
    <n v="31"/>
    <n v="69388.800000000003"/>
    <x v="716"/>
  </r>
  <r>
    <x v="717"/>
    <n v="26"/>
    <n v="69321.95"/>
    <x v="717"/>
  </r>
  <r>
    <x v="718"/>
    <n v="35"/>
    <n v="68974.66"/>
    <x v="718"/>
  </r>
  <r>
    <x v="719"/>
    <n v="25"/>
    <n v="68934.3"/>
    <x v="719"/>
  </r>
  <r>
    <x v="720"/>
    <n v="35"/>
    <n v="68923.88"/>
    <x v="720"/>
  </r>
  <r>
    <x v="721"/>
    <n v="25"/>
    <n v="68735.41"/>
    <x v="721"/>
  </r>
  <r>
    <x v="722"/>
    <n v="30"/>
    <n v="68546.149999999994"/>
    <x v="722"/>
  </r>
  <r>
    <x v="723"/>
    <n v="35"/>
    <n v="68510.03"/>
    <x v="723"/>
  </r>
  <r>
    <x v="724"/>
    <n v="28"/>
    <n v="68495.839999999997"/>
    <x v="724"/>
  </r>
  <r>
    <x v="725"/>
    <n v="31"/>
    <n v="68359.649999999994"/>
    <x v="725"/>
  </r>
  <r>
    <x v="726"/>
    <n v="25"/>
    <n v="68142.34"/>
    <x v="726"/>
  </r>
  <r>
    <x v="727"/>
    <n v="27"/>
    <n v="67984.679999999993"/>
    <x v="727"/>
  </r>
  <r>
    <x v="728"/>
    <n v="27"/>
    <n v="67978.92"/>
    <x v="728"/>
  </r>
  <r>
    <x v="729"/>
    <n v="31"/>
    <n v="67772.66"/>
    <x v="729"/>
  </r>
  <r>
    <x v="730"/>
    <n v="26"/>
    <n v="67730.929999999993"/>
    <x v="730"/>
  </r>
  <r>
    <x v="731"/>
    <n v="28"/>
    <n v="67566.789999999994"/>
    <x v="731"/>
  </r>
  <r>
    <x v="732"/>
    <n v="22"/>
    <n v="67134.16"/>
    <x v="732"/>
  </r>
  <r>
    <x v="733"/>
    <n v="28"/>
    <n v="67107.429999999993"/>
    <x v="733"/>
  </r>
  <r>
    <x v="734"/>
    <n v="27"/>
    <n v="67071.38"/>
    <x v="734"/>
  </r>
  <r>
    <x v="735"/>
    <n v="21"/>
    <n v="67068.759999999995"/>
    <x v="735"/>
  </r>
  <r>
    <x v="736"/>
    <n v="30"/>
    <n v="67003.86"/>
    <x v="736"/>
  </r>
  <r>
    <x v="737"/>
    <n v="30"/>
    <n v="66849.960000000006"/>
    <x v="737"/>
  </r>
  <r>
    <x v="738"/>
    <n v="32"/>
    <n v="66782.17"/>
    <x v="738"/>
  </r>
  <r>
    <x v="739"/>
    <n v="29"/>
    <n v="66774.03"/>
    <x v="739"/>
  </r>
  <r>
    <x v="740"/>
    <n v="30"/>
    <n v="66489.509999999995"/>
    <x v="740"/>
  </r>
  <r>
    <x v="741"/>
    <n v="24"/>
    <n v="66486.710000000006"/>
    <x v="741"/>
  </r>
  <r>
    <x v="742"/>
    <n v="30"/>
    <n v="66364.77"/>
    <x v="742"/>
  </r>
  <r>
    <x v="743"/>
    <n v="30"/>
    <n v="66274.2"/>
    <x v="743"/>
  </r>
  <r>
    <x v="744"/>
    <n v="27"/>
    <n v="66176.179999999993"/>
    <x v="744"/>
  </r>
  <r>
    <x v="745"/>
    <n v="31"/>
    <n v="66068.479999999996"/>
    <x v="745"/>
  </r>
  <r>
    <x v="746"/>
    <n v="26"/>
    <n v="65923.5"/>
    <x v="746"/>
  </r>
  <r>
    <x v="747"/>
    <n v="30"/>
    <n v="65705.72"/>
    <x v="747"/>
  </r>
  <r>
    <x v="748"/>
    <n v="25"/>
    <n v="65594.02"/>
    <x v="748"/>
  </r>
  <r>
    <x v="749"/>
    <n v="30"/>
    <n v="65567.66"/>
    <x v="749"/>
  </r>
  <r>
    <x v="750"/>
    <n v="25"/>
    <n v="65499.77"/>
    <x v="750"/>
  </r>
  <r>
    <x v="751"/>
    <n v="28"/>
    <n v="65329.81"/>
    <x v="751"/>
  </r>
  <r>
    <x v="752"/>
    <n v="28"/>
    <n v="65151.95"/>
    <x v="752"/>
  </r>
  <r>
    <x v="753"/>
    <n v="23"/>
    <n v="64905.22"/>
    <x v="753"/>
  </r>
  <r>
    <x v="754"/>
    <n v="25"/>
    <n v="64699.88"/>
    <x v="754"/>
  </r>
  <r>
    <x v="755"/>
    <n v="25"/>
    <n v="64653.23"/>
    <x v="755"/>
  </r>
  <r>
    <x v="756"/>
    <n v="27"/>
    <n v="64546.47"/>
    <x v="756"/>
  </r>
  <r>
    <x v="757"/>
    <n v="26"/>
    <n v="64475.48"/>
    <x v="757"/>
  </r>
  <r>
    <x v="758"/>
    <n v="28"/>
    <n v="64436.59"/>
    <x v="758"/>
  </r>
  <r>
    <x v="759"/>
    <n v="27"/>
    <n v="64423.02"/>
    <x v="759"/>
  </r>
  <r>
    <x v="760"/>
    <n v="27"/>
    <n v="64050.67"/>
    <x v="760"/>
  </r>
  <r>
    <x v="761"/>
    <n v="25"/>
    <n v="64008.11"/>
    <x v="761"/>
  </r>
  <r>
    <x v="762"/>
    <n v="24"/>
    <n v="63750.82"/>
    <x v="762"/>
  </r>
  <r>
    <x v="763"/>
    <n v="24"/>
    <n v="63633.27"/>
    <x v="763"/>
  </r>
  <r>
    <x v="764"/>
    <n v="23"/>
    <n v="63510.34"/>
    <x v="764"/>
  </r>
  <r>
    <x v="765"/>
    <n v="23"/>
    <n v="63439.44"/>
    <x v="765"/>
  </r>
  <r>
    <x v="766"/>
    <n v="29"/>
    <n v="63253.99"/>
    <x v="766"/>
  </r>
  <r>
    <x v="767"/>
    <n v="26"/>
    <n v="63209.66"/>
    <x v="767"/>
  </r>
  <r>
    <x v="768"/>
    <n v="25"/>
    <n v="63207.360000000001"/>
    <x v="768"/>
  </r>
  <r>
    <x v="769"/>
    <n v="23"/>
    <n v="62939.1"/>
    <x v="769"/>
  </r>
  <r>
    <x v="770"/>
    <n v="30"/>
    <n v="62768.800000000003"/>
    <x v="770"/>
  </r>
  <r>
    <x v="771"/>
    <n v="25"/>
    <n v="62385.15"/>
    <x v="771"/>
  </r>
  <r>
    <x v="772"/>
    <n v="28"/>
    <n v="62028.73"/>
    <x v="772"/>
  </r>
  <r>
    <x v="773"/>
    <n v="27"/>
    <n v="62027.88"/>
    <x v="773"/>
  </r>
  <r>
    <x v="774"/>
    <n v="28"/>
    <n v="62025.61"/>
    <x v="774"/>
  </r>
  <r>
    <x v="775"/>
    <n v="30"/>
    <n v="61641.2"/>
    <x v="775"/>
  </r>
  <r>
    <x v="776"/>
    <n v="24"/>
    <n v="61608.99"/>
    <x v="776"/>
  </r>
  <r>
    <x v="777"/>
    <n v="24"/>
    <n v="61595.68"/>
    <x v="777"/>
  </r>
  <r>
    <x v="778"/>
    <n v="28"/>
    <n v="61435.040000000001"/>
    <x v="778"/>
  </r>
  <r>
    <x v="779"/>
    <n v="24"/>
    <n v="61359.83"/>
    <x v="779"/>
  </r>
  <r>
    <x v="780"/>
    <n v="24"/>
    <n v="61321.51"/>
    <x v="780"/>
  </r>
  <r>
    <x v="781"/>
    <n v="29"/>
    <n v="61299.519999999997"/>
    <x v="781"/>
  </r>
  <r>
    <x v="782"/>
    <n v="25"/>
    <n v="61267.24"/>
    <x v="782"/>
  </r>
  <r>
    <x v="783"/>
    <n v="23"/>
    <n v="61214.23"/>
    <x v="783"/>
  </r>
  <r>
    <x v="784"/>
    <n v="27"/>
    <n v="61186.97"/>
    <x v="784"/>
  </r>
  <r>
    <x v="785"/>
    <n v="27"/>
    <n v="61117.13"/>
    <x v="785"/>
  </r>
  <r>
    <x v="786"/>
    <n v="27"/>
    <n v="61089.18"/>
    <x v="786"/>
  </r>
  <r>
    <x v="787"/>
    <n v="26"/>
    <n v="60785.84"/>
    <x v="787"/>
  </r>
  <r>
    <x v="788"/>
    <n v="20"/>
    <n v="60684.03"/>
    <x v="788"/>
  </r>
  <r>
    <x v="789"/>
    <n v="22"/>
    <n v="60661.74"/>
    <x v="789"/>
  </r>
  <r>
    <x v="790"/>
    <n v="26"/>
    <n v="60497.63"/>
    <x v="790"/>
  </r>
  <r>
    <x v="791"/>
    <n v="31"/>
    <n v="60497.34"/>
    <x v="791"/>
  </r>
  <r>
    <x v="792"/>
    <n v="24"/>
    <n v="60321.32"/>
    <x v="792"/>
  </r>
  <r>
    <x v="793"/>
    <n v="25"/>
    <n v="60250.32"/>
    <x v="793"/>
  </r>
  <r>
    <x v="794"/>
    <n v="25"/>
    <n v="60207.519999999997"/>
    <x v="794"/>
  </r>
  <r>
    <x v="795"/>
    <n v="28"/>
    <n v="60193.36"/>
    <x v="795"/>
  </r>
  <r>
    <x v="796"/>
    <n v="29"/>
    <n v="60110.09"/>
    <x v="796"/>
  </r>
  <r>
    <x v="797"/>
    <n v="24"/>
    <n v="59973.48"/>
    <x v="797"/>
  </r>
  <r>
    <x v="798"/>
    <n v="25"/>
    <n v="59618.54"/>
    <x v="798"/>
  </r>
  <r>
    <x v="799"/>
    <n v="24"/>
    <n v="59542.71"/>
    <x v="799"/>
  </r>
  <r>
    <x v="800"/>
    <n v="25"/>
    <n v="59381.760000000002"/>
    <x v="800"/>
  </r>
  <r>
    <x v="801"/>
    <n v="22"/>
    <n v="59007.68"/>
    <x v="801"/>
  </r>
  <r>
    <x v="802"/>
    <n v="25"/>
    <n v="58910.14"/>
    <x v="802"/>
  </r>
  <r>
    <x v="803"/>
    <n v="26"/>
    <n v="58678.83"/>
    <x v="803"/>
  </r>
  <r>
    <x v="804"/>
    <n v="27"/>
    <n v="58605.65"/>
    <x v="804"/>
  </r>
  <r>
    <x v="805"/>
    <n v="28"/>
    <n v="58575.14"/>
    <x v="805"/>
  </r>
  <r>
    <x v="806"/>
    <n v="21"/>
    <n v="58535.75"/>
    <x v="806"/>
  </r>
  <r>
    <x v="807"/>
    <n v="21"/>
    <n v="58350.42"/>
    <x v="807"/>
  </r>
  <r>
    <x v="808"/>
    <n v="27"/>
    <n v="58321.49"/>
    <x v="808"/>
  </r>
  <r>
    <x v="809"/>
    <n v="24"/>
    <n v="58145.24"/>
    <x v="809"/>
  </r>
  <r>
    <x v="810"/>
    <n v="24"/>
    <n v="58105"/>
    <x v="810"/>
  </r>
  <r>
    <x v="811"/>
    <n v="25"/>
    <n v="58010.44"/>
    <x v="811"/>
  </r>
  <r>
    <x v="812"/>
    <n v="27"/>
    <n v="57854.26"/>
    <x v="812"/>
  </r>
  <r>
    <x v="813"/>
    <n v="26"/>
    <n v="56324.480000000003"/>
    <x v="813"/>
  </r>
  <r>
    <x v="814"/>
    <n v="26"/>
    <n v="56061.58"/>
    <x v="814"/>
  </r>
  <r>
    <x v="815"/>
    <n v="20"/>
    <n v="55978"/>
    <x v="815"/>
  </r>
  <r>
    <x v="816"/>
    <n v="21"/>
    <n v="55951.5"/>
    <x v="816"/>
  </r>
  <r>
    <x v="817"/>
    <n v="24"/>
    <n v="55768.49"/>
    <x v="817"/>
  </r>
  <r>
    <x v="818"/>
    <n v="25"/>
    <n v="55588.05"/>
    <x v="818"/>
  </r>
  <r>
    <x v="819"/>
    <n v="22"/>
    <n v="55495.48"/>
    <x v="819"/>
  </r>
  <r>
    <x v="820"/>
    <n v="26"/>
    <n v="55415.67"/>
    <x v="820"/>
  </r>
  <r>
    <x v="821"/>
    <n v="24"/>
    <n v="55171.63"/>
    <x v="821"/>
  </r>
  <r>
    <x v="822"/>
    <n v="24"/>
    <n v="55060.84"/>
    <x v="822"/>
  </r>
  <r>
    <x v="823"/>
    <n v="25"/>
    <n v="54721.440000000002"/>
    <x v="823"/>
  </r>
  <r>
    <x v="824"/>
    <n v="22"/>
    <n v="54620.9"/>
    <x v="824"/>
  </r>
  <r>
    <x v="825"/>
    <n v="29"/>
    <n v="54423.48"/>
    <x v="825"/>
  </r>
  <r>
    <x v="826"/>
    <n v="22"/>
    <n v="53945.69"/>
    <x v="826"/>
  </r>
  <r>
    <x v="827"/>
    <n v="24"/>
    <n v="53604.94"/>
    <x v="827"/>
  </r>
  <r>
    <x v="828"/>
    <n v="24"/>
    <n v="53579.44"/>
    <x v="828"/>
  </r>
  <r>
    <x v="829"/>
    <n v="21"/>
    <n v="53215.15"/>
    <x v="829"/>
  </r>
  <r>
    <x v="830"/>
    <n v="24"/>
    <n v="53118.34"/>
    <x v="830"/>
  </r>
  <r>
    <x v="831"/>
    <n v="23"/>
    <n v="52777.66"/>
    <x v="831"/>
  </r>
  <r>
    <x v="832"/>
    <n v="23"/>
    <n v="52589.120000000003"/>
    <x v="832"/>
  </r>
  <r>
    <x v="833"/>
    <n v="20"/>
    <n v="52449.279999999999"/>
    <x v="833"/>
  </r>
  <r>
    <x v="834"/>
    <n v="24"/>
    <n v="52304.77"/>
    <x v="834"/>
  </r>
  <r>
    <x v="835"/>
    <n v="28"/>
    <n v="52082.32"/>
    <x v="835"/>
  </r>
  <r>
    <x v="836"/>
    <n v="21"/>
    <n v="51953.57"/>
    <x v="836"/>
  </r>
  <r>
    <x v="837"/>
    <n v="22"/>
    <n v="51488.7"/>
    <x v="837"/>
  </r>
  <r>
    <x v="838"/>
    <n v="22"/>
    <n v="51318.52"/>
    <x v="838"/>
  </r>
  <r>
    <x v="839"/>
    <n v="24"/>
    <n v="51196.59"/>
    <x v="839"/>
  </r>
  <r>
    <x v="840"/>
    <n v="26"/>
    <n v="51119.3"/>
    <x v="840"/>
  </r>
  <r>
    <x v="841"/>
    <n v="21"/>
    <n v="50575.22"/>
    <x v="841"/>
  </r>
  <r>
    <x v="842"/>
    <n v="20"/>
    <n v="50315.51"/>
    <x v="842"/>
  </r>
  <r>
    <x v="843"/>
    <n v="26"/>
    <n v="49793.06"/>
    <x v="843"/>
  </r>
  <r>
    <x v="844"/>
    <n v="26"/>
    <n v="48248.51"/>
    <x v="844"/>
  </r>
  <r>
    <x v="845"/>
    <n v="20"/>
    <n v="48070.64"/>
    <x v="845"/>
  </r>
  <r>
    <x v="846"/>
    <n v="26"/>
    <n v="48035.78"/>
    <x v="846"/>
  </r>
  <r>
    <x v="847"/>
    <n v="21"/>
    <n v="47986.879999999997"/>
    <x v="847"/>
  </r>
  <r>
    <x v="848"/>
    <n v="23"/>
    <n v="47951.34"/>
    <x v="848"/>
  </r>
  <r>
    <x v="849"/>
    <n v="23"/>
    <n v="47869.63"/>
    <x v="849"/>
  </r>
  <r>
    <x v="850"/>
    <n v="23"/>
    <n v="47568.35"/>
    <x v="850"/>
  </r>
  <r>
    <x v="851"/>
    <n v="23"/>
    <n v="46317"/>
    <x v="851"/>
  </r>
  <r>
    <x v="852"/>
    <n v="23"/>
    <n v="44737.42"/>
    <x v="852"/>
  </r>
  <r>
    <x v="853"/>
    <n v="20"/>
    <n v="44698.06"/>
    <x v="853"/>
  </r>
  <r>
    <x v="854"/>
    <n v="18"/>
    <n v="43719.25"/>
    <x v="854"/>
  </r>
  <r>
    <x v="855"/>
    <n v="25"/>
    <n v="43556.639999999999"/>
    <x v="855"/>
  </r>
  <r>
    <x v="856"/>
    <n v="19"/>
    <n v="42364.9"/>
    <x v="856"/>
  </r>
  <r>
    <x v="857"/>
    <n v="18"/>
    <n v="42307.42"/>
    <x v="857"/>
  </r>
  <r>
    <x v="858"/>
    <n v="18"/>
    <n v="40283.620000000003"/>
    <x v="858"/>
  </r>
  <r>
    <x v="859"/>
    <n v="20"/>
    <n v="39475.370000000003"/>
    <x v="859"/>
  </r>
  <r>
    <x v="860"/>
    <n v="19"/>
    <n v="37634.870000000003"/>
    <x v="860"/>
  </r>
  <r>
    <x v="861"/>
    <n v="16"/>
    <n v="36827.589999999997"/>
    <x v="8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A6B24-E97A-43A6-B300-1CCDD8EA786F}" name="Сводная таблица6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 rowHeaderCaption="ID клиента ">
  <location ref="A3:B14" firstHeaderRow="1" firstDataRow="1" firstDataCol="1" rowPageCount="1" colPageCount="1"/>
  <pivotFields count="4">
    <pivotField axis="axisRow" showAll="0" sortType="descending">
      <items count="863">
        <item x="616"/>
        <item x="635"/>
        <item x="30"/>
        <item x="527"/>
        <item x="283"/>
        <item x="180"/>
        <item x="210"/>
        <item x="157"/>
        <item x="501"/>
        <item x="703"/>
        <item x="574"/>
        <item x="552"/>
        <item x="612"/>
        <item x="644"/>
        <item x="255"/>
        <item x="634"/>
        <item x="35"/>
        <item x="123"/>
        <item x="844"/>
        <item x="506"/>
        <item x="371"/>
        <item x="508"/>
        <item x="263"/>
        <item x="562"/>
        <item x="768"/>
        <item x="10"/>
        <item x="248"/>
        <item x="359"/>
        <item x="793"/>
        <item x="473"/>
        <item x="840"/>
        <item x="648"/>
        <item x="835"/>
        <item x="442"/>
        <item x="700"/>
        <item x="153"/>
        <item x="329"/>
        <item x="246"/>
        <item x="95"/>
        <item x="580"/>
        <item x="324"/>
        <item x="735"/>
        <item x="806"/>
        <item x="192"/>
        <item x="684"/>
        <item x="755"/>
        <item x="265"/>
        <item x="115"/>
        <item x="249"/>
        <item x="145"/>
        <item x="288"/>
        <item x="796"/>
        <item x="206"/>
        <item x="332"/>
        <item x="54"/>
        <item x="21"/>
        <item x="144"/>
        <item x="541"/>
        <item x="710"/>
        <item x="643"/>
        <item x="782"/>
        <item x="817"/>
        <item x="679"/>
        <item x="432"/>
        <item x="526"/>
        <item x="714"/>
        <item x="722"/>
        <item x="199"/>
        <item x="318"/>
        <item x="677"/>
        <item x="387"/>
        <item x="459"/>
        <item x="819"/>
        <item x="659"/>
        <item x="194"/>
        <item x="734"/>
        <item x="484"/>
        <item x="13"/>
        <item x="125"/>
        <item x="307"/>
        <item x="308"/>
        <item x="715"/>
        <item x="183"/>
        <item x="243"/>
        <item x="390"/>
        <item x="781"/>
        <item x="647"/>
        <item x="825"/>
        <item x="379"/>
        <item x="531"/>
        <item x="751"/>
        <item x="67"/>
        <item x="241"/>
        <item x="621"/>
        <item x="212"/>
        <item x="424"/>
        <item x="96"/>
        <item x="158"/>
        <item x="347"/>
        <item x="604"/>
        <item x="178"/>
        <item x="12"/>
        <item x="166"/>
        <item x="698"/>
        <item x="709"/>
        <item x="302"/>
        <item x="441"/>
        <item x="411"/>
        <item x="388"/>
        <item x="767"/>
        <item x="341"/>
        <item x="18"/>
        <item x="269"/>
        <item x="346"/>
        <item x="252"/>
        <item x="65"/>
        <item x="211"/>
        <item x="788"/>
        <item x="860"/>
        <item x="440"/>
        <item x="785"/>
        <item x="829"/>
        <item x="412"/>
        <item x="787"/>
        <item x="161"/>
        <item x="537"/>
        <item x="70"/>
        <item x="242"/>
        <item x="63"/>
        <item x="539"/>
        <item x="611"/>
        <item x="14"/>
        <item x="565"/>
        <item x="682"/>
        <item x="690"/>
        <item x="316"/>
        <item x="261"/>
        <item x="421"/>
        <item x="818"/>
        <item x="797"/>
        <item x="446"/>
        <item x="721"/>
        <item x="31"/>
        <item x="146"/>
        <item x="766"/>
        <item x="456"/>
        <item x="272"/>
        <item x="97"/>
        <item x="691"/>
        <item x="39"/>
        <item x="196"/>
        <item x="279"/>
        <item x="784"/>
        <item x="413"/>
        <item x="790"/>
        <item x="542"/>
        <item x="423"/>
        <item x="425"/>
        <item x="417"/>
        <item x="688"/>
        <item x="449"/>
        <item x="171"/>
        <item x="395"/>
        <item x="7"/>
        <item x="81"/>
        <item x="701"/>
        <item x="68"/>
        <item x="516"/>
        <item x="245"/>
        <item x="794"/>
        <item x="685"/>
        <item x="77"/>
        <item x="687"/>
        <item x="798"/>
        <item x="297"/>
        <item x="746"/>
        <item x="173"/>
        <item x="566"/>
        <item x="396"/>
        <item x="419"/>
        <item x="763"/>
        <item x="170"/>
        <item x="799"/>
        <item x="739"/>
        <item x="801"/>
        <item x="370"/>
        <item x="769"/>
        <item x="617"/>
        <item x="365"/>
        <item x="583"/>
        <item x="250"/>
        <item x="838"/>
        <item x="46"/>
        <item x="422"/>
        <item x="568"/>
        <item x="521"/>
        <item x="190"/>
        <item x="414"/>
        <item x="804"/>
        <item x="761"/>
        <item x="499"/>
        <item x="504"/>
        <item x="660"/>
        <item x="197"/>
        <item x="358"/>
        <item x="676"/>
        <item x="633"/>
        <item x="511"/>
        <item x="672"/>
        <item x="140"/>
        <item x="664"/>
        <item x="110"/>
        <item x="330"/>
        <item x="397"/>
        <item x="121"/>
        <item x="101"/>
        <item x="361"/>
        <item x="771"/>
        <item x="462"/>
        <item x="820"/>
        <item x="849"/>
        <item x="116"/>
        <item x="294"/>
        <item x="218"/>
        <item x="3"/>
        <item x="8"/>
        <item x="195"/>
        <item x="748"/>
        <item x="488"/>
        <item x="774"/>
        <item x="208"/>
        <item x="482"/>
        <item x="186"/>
        <item x="366"/>
        <item x="805"/>
        <item x="340"/>
        <item x="491"/>
        <item x="821"/>
        <item x="433"/>
        <item x="645"/>
        <item x="680"/>
        <item x="443"/>
        <item x="522"/>
        <item x="428"/>
        <item x="1"/>
        <item x="619"/>
        <item x="216"/>
        <item x="657"/>
        <item x="713"/>
        <item x="56"/>
        <item x="254"/>
        <item x="41"/>
        <item x="548"/>
        <item x="404"/>
        <item x="385"/>
        <item x="75"/>
        <item x="493"/>
        <item x="599"/>
        <item x="155"/>
        <item x="622"/>
        <item x="418"/>
        <item x="102"/>
        <item x="854"/>
        <item x="222"/>
        <item x="476"/>
        <item x="589"/>
        <item x="57"/>
        <item x="753"/>
        <item x="19"/>
        <item x="394"/>
        <item x="678"/>
        <item x="758"/>
        <item x="747"/>
        <item x="89"/>
        <item x="376"/>
        <item x="732"/>
        <item x="268"/>
        <item x="262"/>
        <item x="831"/>
        <item x="789"/>
        <item x="572"/>
        <item x="481"/>
        <item x="78"/>
        <item x="133"/>
        <item x="809"/>
        <item x="681"/>
        <item x="22"/>
        <item x="595"/>
        <item x="529"/>
        <item x="286"/>
        <item x="277"/>
        <item x="557"/>
        <item x="693"/>
        <item x="260"/>
        <item x="40"/>
        <item x="553"/>
        <item x="214"/>
        <item x="641"/>
        <item x="383"/>
        <item x="132"/>
        <item x="847"/>
        <item x="139"/>
        <item x="247"/>
        <item x="704"/>
        <item x="109"/>
        <item x="219"/>
        <item x="207"/>
        <item x="409"/>
        <item x="201"/>
        <item x="778"/>
        <item x="45"/>
        <item x="550"/>
        <item x="29"/>
        <item x="754"/>
        <item x="321"/>
        <item x="309"/>
        <item x="603"/>
        <item x="430"/>
        <item x="389"/>
        <item x="564"/>
        <item x="251"/>
        <item x="593"/>
        <item x="429"/>
        <item x="106"/>
        <item x="336"/>
        <item x="578"/>
        <item x="750"/>
        <item x="649"/>
        <item x="136"/>
        <item x="357"/>
        <item x="471"/>
        <item x="69"/>
        <item x="299"/>
        <item x="505"/>
        <item x="842"/>
        <item x="138"/>
        <item x="728"/>
        <item x="592"/>
        <item x="832"/>
        <item x="594"/>
        <item x="149"/>
        <item x="399"/>
        <item x="624"/>
        <item x="237"/>
        <item x="675"/>
        <item x="23"/>
        <item x="665"/>
        <item x="238"/>
        <item x="257"/>
        <item x="20"/>
        <item x="697"/>
        <item x="293"/>
        <item x="480"/>
        <item x="815"/>
        <item x="402"/>
        <item x="642"/>
        <item x="483"/>
        <item x="639"/>
        <item x="773"/>
        <item x="431"/>
        <item x="0"/>
        <item x="107"/>
        <item x="398"/>
        <item x="317"/>
        <item x="579"/>
        <item x="590"/>
        <item x="608"/>
        <item x="570"/>
        <item x="614"/>
        <item x="764"/>
        <item x="34"/>
        <item x="497"/>
        <item x="244"/>
        <item x="426"/>
        <item x="510"/>
        <item x="841"/>
        <item x="356"/>
        <item x="850"/>
        <item x="381"/>
        <item x="104"/>
        <item x="792"/>
        <item x="630"/>
        <item x="776"/>
        <item x="320"/>
        <item x="154"/>
        <item x="551"/>
        <item x="415"/>
        <item x="670"/>
        <item x="313"/>
        <item x="485"/>
        <item x="436"/>
        <item x="92"/>
        <item x="141"/>
        <item x="555"/>
        <item x="259"/>
        <item x="239"/>
        <item x="625"/>
        <item x="193"/>
        <item x="303"/>
        <item x="147"/>
        <item x="391"/>
        <item x="420"/>
        <item x="730"/>
        <item x="100"/>
        <item x="689"/>
        <item x="828"/>
        <item x="834"/>
        <item x="73"/>
        <item x="472"/>
        <item x="699"/>
        <item x="159"/>
        <item x="28"/>
        <item x="306"/>
        <item x="496"/>
        <item x="490"/>
        <item x="130"/>
        <item x="613"/>
        <item x="74"/>
        <item x="816"/>
        <item x="213"/>
        <item x="185"/>
        <item x="534"/>
        <item x="458"/>
        <item x="666"/>
        <item x="58"/>
        <item x="591"/>
        <item x="290"/>
        <item x="780"/>
        <item x="669"/>
        <item x="88"/>
        <item x="99"/>
        <item x="563"/>
        <item x="26"/>
        <item x="528"/>
        <item x="258"/>
        <item x="117"/>
        <item x="278"/>
        <item x="757"/>
        <item x="752"/>
        <item x="203"/>
        <item x="98"/>
        <item x="477"/>
        <item x="167"/>
        <item x="337"/>
        <item x="627"/>
        <item x="59"/>
        <item x="588"/>
        <item x="236"/>
        <item x="175"/>
        <item x="610"/>
        <item x="24"/>
        <item x="765"/>
        <item x="91"/>
        <item x="15"/>
        <item x="84"/>
        <item x="47"/>
        <item x="770"/>
        <item x="435"/>
        <item x="364"/>
        <item x="545"/>
        <item x="217"/>
        <item x="377"/>
        <item x="60"/>
        <item x="489"/>
        <item x="407"/>
        <item x="772"/>
        <item x="839"/>
        <item x="301"/>
        <item x="164"/>
        <item x="554"/>
        <item x="836"/>
        <item x="169"/>
        <item x="319"/>
        <item x="694"/>
        <item x="756"/>
        <item x="177"/>
        <item x="16"/>
        <item x="282"/>
        <item x="406"/>
        <item x="416"/>
        <item x="474"/>
        <item x="600"/>
        <item x="479"/>
        <item x="392"/>
        <item x="791"/>
        <item x="638"/>
        <item x="575"/>
        <item x="322"/>
        <item x="305"/>
        <item x="696"/>
        <item x="824"/>
        <item x="267"/>
        <item x="134"/>
        <item x="733"/>
        <item x="811"/>
        <item x="523"/>
        <item x="434"/>
        <item x="360"/>
        <item x="401"/>
        <item x="718"/>
        <item x="182"/>
        <item x="609"/>
        <item x="467"/>
        <item x="118"/>
        <item x="466"/>
        <item x="795"/>
        <item x="223"/>
        <item x="162"/>
        <item x="382"/>
        <item x="727"/>
        <item x="808"/>
        <item x="83"/>
        <item x="532"/>
        <item x="410"/>
        <item x="852"/>
        <item x="830"/>
        <item x="775"/>
        <item x="137"/>
        <item x="749"/>
        <item x="741"/>
        <item x="447"/>
        <item x="607"/>
        <item x="127"/>
        <item x="667"/>
        <item x="827"/>
        <item x="331"/>
        <item x="43"/>
        <item x="295"/>
        <item x="61"/>
        <item x="226"/>
        <item x="326"/>
        <item x="266"/>
        <item x="509"/>
        <item x="285"/>
        <item x="233"/>
        <item x="640"/>
        <item x="475"/>
        <item x="461"/>
        <item x="803"/>
        <item x="567"/>
        <item x="25"/>
        <item x="52"/>
        <item x="673"/>
        <item x="807"/>
        <item x="328"/>
        <item x="271"/>
        <item x="234"/>
        <item x="437"/>
        <item x="62"/>
        <item x="857"/>
        <item x="405"/>
        <item x="745"/>
        <item x="494"/>
        <item x="403"/>
        <item x="843"/>
        <item x="519"/>
        <item x="168"/>
        <item x="273"/>
        <item x="454"/>
        <item x="79"/>
        <item x="112"/>
        <item x="296"/>
        <item x="652"/>
        <item x="119"/>
        <item x="731"/>
        <item x="720"/>
        <item x="227"/>
        <item x="353"/>
        <item x="176"/>
        <item x="540"/>
        <item x="569"/>
        <item x="515"/>
        <item x="518"/>
        <item x="198"/>
        <item x="124"/>
        <item x="275"/>
        <item x="156"/>
        <item x="191"/>
        <item x="500"/>
        <item x="64"/>
        <item x="742"/>
        <item x="558"/>
        <item x="108"/>
        <item x="17"/>
        <item x="152"/>
        <item x="71"/>
        <item x="629"/>
        <item x="439"/>
        <item x="142"/>
        <item x="351"/>
        <item x="605"/>
        <item x="352"/>
        <item x="128"/>
        <item x="671"/>
        <item x="256"/>
        <item x="291"/>
        <item x="517"/>
        <item x="740"/>
        <item x="810"/>
        <item x="602"/>
        <item x="224"/>
        <item x="5"/>
        <item x="468"/>
        <item x="355"/>
        <item x="861"/>
        <item x="94"/>
        <item x="469"/>
        <item x="706"/>
        <item x="760"/>
        <item x="486"/>
        <item x="708"/>
        <item x="82"/>
        <item x="126"/>
        <item x="597"/>
        <item x="513"/>
        <item x="851"/>
        <item x="342"/>
        <item x="384"/>
        <item x="372"/>
        <item x="858"/>
        <item x="335"/>
        <item x="393"/>
        <item x="503"/>
        <item x="646"/>
        <item x="855"/>
        <item x="725"/>
        <item x="362"/>
        <item x="598"/>
        <item x="264"/>
        <item x="615"/>
        <item x="51"/>
        <item x="375"/>
        <item x="587"/>
        <item x="114"/>
        <item x="762"/>
        <item x="653"/>
        <item x="292"/>
        <item x="573"/>
        <item x="338"/>
        <item x="487"/>
        <item x="333"/>
        <item x="717"/>
        <item x="759"/>
        <item x="86"/>
        <item x="525"/>
        <item x="783"/>
        <item x="492"/>
        <item x="498"/>
        <item x="49"/>
        <item x="87"/>
        <item x="344"/>
        <item x="33"/>
        <item x="165"/>
        <item x="744"/>
        <item x="632"/>
        <item x="859"/>
        <item x="512"/>
        <item x="581"/>
        <item x="444"/>
        <item x="235"/>
        <item x="312"/>
        <item x="464"/>
        <item x="76"/>
        <item x="400"/>
        <item x="181"/>
        <item x="478"/>
        <item x="151"/>
        <item x="470"/>
        <item x="284"/>
        <item x="204"/>
        <item x="220"/>
        <item x="325"/>
        <item x="663"/>
        <item x="577"/>
        <item x="626"/>
        <item x="450"/>
        <item x="55"/>
        <item x="221"/>
        <item x="339"/>
        <item x="514"/>
        <item x="601"/>
        <item x="584"/>
        <item x="311"/>
        <item x="228"/>
        <item x="546"/>
        <item x="172"/>
        <item x="853"/>
        <item x="723"/>
        <item x="631"/>
        <item x="822"/>
        <item x="202"/>
        <item x="561"/>
        <item x="576"/>
        <item x="712"/>
        <item x="837"/>
        <item x="354"/>
        <item x="674"/>
        <item x="549"/>
        <item x="280"/>
        <item x="800"/>
        <item x="184"/>
        <item x="724"/>
        <item x="533"/>
        <item x="230"/>
        <item x="90"/>
        <item x="48"/>
        <item x="131"/>
        <item x="9"/>
        <item x="274"/>
        <item x="571"/>
        <item x="460"/>
        <item x="11"/>
        <item x="240"/>
        <item x="253"/>
        <item x="231"/>
        <item x="129"/>
        <item x="72"/>
        <item x="668"/>
        <item x="120"/>
        <item x="6"/>
        <item x="683"/>
        <item x="686"/>
        <item x="327"/>
        <item x="135"/>
        <item x="373"/>
        <item x="547"/>
        <item x="530"/>
        <item x="205"/>
        <item x="707"/>
        <item x="445"/>
        <item x="38"/>
        <item x="743"/>
        <item x="556"/>
        <item x="737"/>
        <item x="637"/>
        <item x="378"/>
        <item x="349"/>
        <item x="623"/>
        <item x="105"/>
        <item x="343"/>
        <item x="323"/>
        <item x="463"/>
        <item x="310"/>
        <item x="524"/>
        <item x="187"/>
        <item x="363"/>
        <item x="586"/>
        <item x="270"/>
        <item x="738"/>
        <item x="200"/>
        <item x="287"/>
        <item x="495"/>
        <item x="453"/>
        <item x="188"/>
        <item x="281"/>
        <item x="826"/>
        <item x="93"/>
        <item x="225"/>
        <item x="833"/>
        <item x="711"/>
        <item x="44"/>
        <item x="846"/>
        <item x="160"/>
        <item x="695"/>
        <item x="702"/>
        <item x="367"/>
        <item x="42"/>
        <item x="386"/>
        <item x="229"/>
        <item x="856"/>
        <item x="369"/>
        <item x="538"/>
        <item x="350"/>
        <item x="618"/>
        <item x="705"/>
        <item x="656"/>
        <item x="813"/>
        <item x="507"/>
        <item x="465"/>
        <item x="314"/>
        <item x="408"/>
        <item x="662"/>
        <item x="658"/>
        <item x="620"/>
        <item x="736"/>
        <item x="66"/>
        <item x="53"/>
        <item x="276"/>
        <item x="36"/>
        <item x="651"/>
        <item x="452"/>
        <item x="596"/>
        <item x="368"/>
        <item x="163"/>
        <item x="315"/>
        <item x="559"/>
        <item x="345"/>
        <item x="215"/>
        <item x="298"/>
        <item x="520"/>
        <item x="427"/>
        <item x="300"/>
        <item x="37"/>
        <item x="438"/>
        <item x="719"/>
        <item x="150"/>
        <item x="716"/>
        <item x="606"/>
        <item x="535"/>
        <item x="786"/>
        <item x="50"/>
        <item x="451"/>
        <item x="103"/>
        <item x="779"/>
        <item x="209"/>
        <item x="692"/>
        <item x="455"/>
        <item x="636"/>
        <item x="2"/>
        <item x="189"/>
        <item x="729"/>
        <item x="374"/>
        <item x="845"/>
        <item x="348"/>
        <item x="457"/>
        <item x="80"/>
        <item x="502"/>
        <item x="304"/>
        <item x="655"/>
        <item x="113"/>
        <item x="848"/>
        <item x="654"/>
        <item x="536"/>
        <item x="560"/>
        <item x="380"/>
        <item x="582"/>
        <item x="585"/>
        <item x="726"/>
        <item x="232"/>
        <item x="448"/>
        <item x="544"/>
        <item x="777"/>
        <item x="179"/>
        <item x="650"/>
        <item x="812"/>
        <item x="174"/>
        <item x="628"/>
        <item x="32"/>
        <item x="143"/>
        <item x="122"/>
        <item x="334"/>
        <item x="27"/>
        <item x="661"/>
        <item x="802"/>
        <item x="111"/>
        <item x="4"/>
        <item x="543"/>
        <item x="85"/>
        <item x="814"/>
        <item x="289"/>
        <item x="148"/>
        <item x="8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axis="axisPage" multipleItemSelectionAllowed="1" showAll="0">
      <items count="863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t="default"/>
      </items>
    </pivotField>
  </pivotFields>
  <rowFields count="1">
    <field x="0"/>
  </rowFields>
  <rowItems count="11">
    <i>
      <x v="360"/>
    </i>
    <i>
      <x v="244"/>
    </i>
    <i>
      <x v="818"/>
    </i>
    <i>
      <x v="224"/>
    </i>
    <i>
      <x v="855"/>
    </i>
    <i>
      <x v="601"/>
    </i>
    <i>
      <x v="719"/>
    </i>
    <i>
      <x v="163"/>
    </i>
    <i>
      <x v="225"/>
    </i>
    <i>
      <x v="707"/>
    </i>
    <i t="grand">
      <x/>
    </i>
  </rowItems>
  <colItems count="1">
    <i/>
  </colItems>
  <pageFields count="1">
    <pageField fld="3" hier="-1"/>
  </pageFields>
  <dataFields count="1">
    <dataField name="Сумма исходящих операций " fld="2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E835D-D4BA-41FD-81EF-CADB840B8093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5" rowHeaderCaption="Тип транзакции">
  <location ref="A3:C8" firstHeaderRow="0" firstDataRow="1" firstDataCol="1"/>
  <pivotFields count="3">
    <pivotField axis="axisRow" showAll="0">
      <items count="5">
        <item x="0"/>
        <item x="2"/>
        <item x="1"/>
        <item x="3"/>
        <item t="default"/>
      </items>
    </pivotField>
    <pivotField dataField="1" showAll="0"/>
    <pivotField dataField="1"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операций " fld="1" baseField="0" baseItem="0"/>
    <dataField name="Общий объём операций " fld="2" baseField="0" baseItem="0" numFmtId="2"/>
  </dataFields>
  <chartFormats count="6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AE776-2F48-4D91-B91D-5FB4B571A2E6}" name="Сводная таблица5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 rowHeaderCaption="ID счета">
  <location ref="A3:B14" firstHeaderRow="1" firstDataRow="1" firstDataCol="1"/>
  <pivotFields count="6">
    <pivotField axis="axisRow" showAll="0" sortType="descending">
      <items count="1652">
        <item x="1419"/>
        <item x="1206"/>
        <item x="10"/>
        <item x="1644"/>
        <item x="1031"/>
        <item x="779"/>
        <item x="131"/>
        <item x="1413"/>
        <item x="92"/>
        <item x="815"/>
        <item h="1" x="1105"/>
        <item h="1" x="977"/>
        <item h="1" x="694"/>
        <item h="1" x="127"/>
        <item h="1" x="1014"/>
        <item h="1" x="1170"/>
        <item h="1" x="225"/>
        <item h="1" x="1463"/>
        <item h="1" x="1274"/>
        <item h="1" x="1199"/>
        <item h="1" x="256"/>
        <item h="1" x="1081"/>
        <item h="1" x="178"/>
        <item h="1" x="252"/>
        <item h="1" x="1500"/>
        <item h="1" x="1438"/>
        <item h="1" x="1482"/>
        <item h="1" x="746"/>
        <item h="1" x="1534"/>
        <item h="1" x="550"/>
        <item h="1" x="1578"/>
        <item h="1" x="945"/>
        <item h="1" x="422"/>
        <item h="1" x="1074"/>
        <item h="1" x="226"/>
        <item h="1" x="175"/>
        <item h="1" x="1198"/>
        <item h="1" x="538"/>
        <item h="1" x="968"/>
        <item h="1" x="339"/>
        <item h="1" x="633"/>
        <item h="1" x="754"/>
        <item h="1" x="435"/>
        <item h="1" x="1062"/>
        <item h="1" x="946"/>
        <item h="1" x="1266"/>
        <item h="1" x="696"/>
        <item h="1" x="806"/>
        <item h="1" x="255"/>
        <item h="1" x="1350"/>
        <item h="1" x="372"/>
        <item h="1" x="1569"/>
        <item h="1" x="1049"/>
        <item h="1" x="502"/>
        <item h="1" x="1307"/>
        <item h="1" x="606"/>
        <item h="1" x="1348"/>
        <item h="1" x="492"/>
        <item h="1" x="162"/>
        <item h="1" x="1507"/>
        <item h="1" x="432"/>
        <item h="1" x="667"/>
        <item h="1" x="172"/>
        <item h="1" x="267"/>
        <item h="1" x="1511"/>
        <item h="1" x="170"/>
        <item h="1" x="1000"/>
        <item h="1" x="520"/>
        <item h="1" x="158"/>
        <item h="1" x="1573"/>
        <item h="1" x="957"/>
        <item h="1" x="1080"/>
        <item h="1" x="1312"/>
        <item h="1" x="739"/>
        <item h="1" x="298"/>
        <item h="1" x="724"/>
        <item h="1" x="1553"/>
        <item h="1" x="1535"/>
        <item h="1" x="691"/>
        <item h="1" x="609"/>
        <item h="1" x="60"/>
        <item h="1" x="1117"/>
        <item h="1" x="668"/>
        <item h="1" x="1132"/>
        <item h="1" x="856"/>
        <item h="1" x="1492"/>
        <item h="1" x="245"/>
        <item h="1" x="751"/>
        <item h="1" x="152"/>
        <item h="1" x="1571"/>
        <item h="1" x="198"/>
        <item h="1" x="1354"/>
        <item h="1" x="596"/>
        <item h="1" x="941"/>
        <item h="1" x="153"/>
        <item h="1" x="1158"/>
        <item h="1" x="552"/>
        <item h="1" x="574"/>
        <item h="1" x="1456"/>
        <item h="1" x="490"/>
        <item h="1" x="851"/>
        <item h="1" x="697"/>
        <item h="1" x="90"/>
        <item h="1" x="1020"/>
        <item h="1" x="1624"/>
        <item h="1" x="757"/>
        <item h="1" x="788"/>
        <item h="1" x="326"/>
        <item h="1" x="1059"/>
        <item h="1" x="1611"/>
        <item h="1" x="1232"/>
        <item h="1" x="837"/>
        <item h="1" x="733"/>
        <item h="1" x="1326"/>
        <item h="1" x="75"/>
        <item h="1" x="1339"/>
        <item h="1" x="40"/>
        <item h="1" x="458"/>
        <item h="1" x="0"/>
        <item h="1" x="973"/>
        <item h="1" x="1023"/>
        <item h="1" x="289"/>
        <item h="1" x="937"/>
        <item h="1" x="985"/>
        <item h="1" x="291"/>
        <item h="1" x="734"/>
        <item h="1" x="132"/>
        <item h="1" x="964"/>
        <item h="1" x="732"/>
        <item h="1" x="1321"/>
        <item h="1" x="1633"/>
        <item h="1" x="461"/>
        <item h="1" x="1395"/>
        <item h="1" x="590"/>
        <item h="1" x="1013"/>
        <item h="1" x="346"/>
        <item h="1" x="1293"/>
        <item h="1" x="200"/>
        <item h="1" x="1429"/>
        <item h="1" x="412"/>
        <item h="1" x="419"/>
        <item h="1" x="1362"/>
        <item h="1" x="642"/>
        <item h="1" x="1629"/>
        <item h="1" x="282"/>
        <item h="1" x="738"/>
        <item h="1" x="979"/>
        <item h="1" x="1"/>
        <item h="1" x="1297"/>
        <item h="1" x="1494"/>
        <item h="1" x="293"/>
        <item h="1" x="1502"/>
        <item h="1" x="1072"/>
        <item h="1" x="932"/>
        <item h="1" x="486"/>
        <item h="1" x="1486"/>
        <item h="1" x="1583"/>
        <item h="1" x="901"/>
        <item h="1" x="947"/>
        <item h="1" x="834"/>
        <item h="1" x="491"/>
        <item h="1" x="695"/>
        <item h="1" x="1159"/>
        <item h="1" x="922"/>
        <item h="1" x="616"/>
        <item h="1" x="1470"/>
        <item h="1" x="689"/>
        <item h="1" x="1572"/>
        <item h="1" x="196"/>
        <item h="1" x="1174"/>
        <item h="1" x="765"/>
        <item h="1" x="246"/>
        <item h="1" x="702"/>
        <item h="1" x="784"/>
        <item h="1" x="448"/>
        <item h="1" x="1487"/>
        <item h="1" x="1585"/>
        <item h="1" x="684"/>
        <item h="1" x="217"/>
        <item h="1" x="30"/>
        <item h="1" x="664"/>
        <item h="1" x="818"/>
        <item h="1" x="1329"/>
        <item h="1" x="562"/>
        <item h="1" x="1011"/>
        <item h="1" x="802"/>
        <item h="1" x="4"/>
        <item h="1" x="1024"/>
        <item h="1" x="1022"/>
        <item h="1" x="259"/>
        <item h="1" x="479"/>
        <item h="1" x="468"/>
        <item h="1" x="1543"/>
        <item h="1" x="525"/>
        <item h="1" x="1363"/>
        <item h="1" x="151"/>
        <item h="1" x="1479"/>
        <item h="1" x="476"/>
        <item h="1" x="1134"/>
        <item h="1" x="515"/>
        <item h="1" x="360"/>
        <item h="1" x="1374"/>
        <item h="1" x="721"/>
        <item h="1" x="1131"/>
        <item h="1" x="103"/>
        <item h="1" x="287"/>
        <item h="1" x="500"/>
        <item h="1" x="789"/>
        <item h="1" x="140"/>
        <item h="1" x="1417"/>
        <item h="1" x="1414"/>
        <item h="1" x="772"/>
        <item h="1" x="309"/>
        <item h="1" x="1078"/>
        <item h="1" x="1190"/>
        <item h="1" x="632"/>
        <item h="1" x="1393"/>
        <item h="1" x="281"/>
        <item h="1" x="526"/>
        <item h="1" x="204"/>
        <item h="1" x="272"/>
        <item h="1" x="234"/>
        <item h="1" x="1353"/>
        <item h="1" x="454"/>
        <item h="1" x="1201"/>
        <item h="1" x="1268"/>
        <item h="1" x="888"/>
        <item h="1" x="442"/>
        <item h="1" x="271"/>
        <item h="1" x="244"/>
        <item h="1" x="1545"/>
        <item h="1" x="1592"/>
        <item h="1" x="618"/>
        <item h="1" x="261"/>
        <item h="1" x="692"/>
        <item h="1" x="56"/>
        <item h="1" x="960"/>
        <item h="1" x="1608"/>
        <item h="1" x="1519"/>
        <item h="1" x="1506"/>
        <item h="1" x="1085"/>
        <item h="1" x="1532"/>
        <item h="1" x="1550"/>
        <item h="1" x="1250"/>
        <item h="1" x="519"/>
        <item h="1" x="221"/>
        <item h="1" x="1296"/>
        <item h="1" x="854"/>
        <item h="1" x="1248"/>
        <item h="1" x="514"/>
        <item h="1" x="612"/>
        <item h="1" x="239"/>
        <item h="1" x="437"/>
        <item h="1" x="447"/>
        <item h="1" x="425"/>
        <item h="1" x="1172"/>
        <item h="1" x="617"/>
        <item h="1" x="803"/>
        <item h="1" x="1635"/>
        <item h="1" x="1133"/>
        <item h="1" x="737"/>
        <item h="1" x="143"/>
        <item h="1" x="608"/>
        <item h="1" x="1520"/>
        <item h="1" x="972"/>
        <item h="1" x="84"/>
        <item h="1" x="558"/>
        <item h="1" x="39"/>
        <item h="1" x="1111"/>
        <item h="1" x="1557"/>
        <item h="1" x="294"/>
        <item h="1" x="527"/>
        <item h="1" x="1556"/>
        <item h="1" x="1376"/>
        <item h="1" x="1641"/>
        <item h="1" x="584"/>
        <item h="1" x="301"/>
        <item h="1" x="1630"/>
        <item h="1" x="430"/>
        <item h="1" x="453"/>
        <item h="1" x="988"/>
        <item h="1" x="1100"/>
        <item h="1" x="1289"/>
        <item h="1" x="705"/>
        <item h="1" x="1188"/>
        <item h="1" x="18"/>
        <item h="1" x="231"/>
        <item h="1" x="193"/>
        <item h="1" x="296"/>
        <item h="1" x="109"/>
        <item h="1" x="429"/>
        <item h="1" x="769"/>
        <item h="1" x="580"/>
        <item h="1" x="270"/>
        <item h="1" x="1493"/>
        <item h="1" x="1537"/>
        <item h="1" x="1245"/>
        <item h="1" x="183"/>
        <item h="1" x="1639"/>
        <item h="1" x="688"/>
        <item h="1" x="1418"/>
        <item h="1" x="334"/>
        <item h="1" x="21"/>
        <item h="1" x="845"/>
        <item h="1" x="19"/>
        <item h="1" x="1239"/>
        <item h="1" x="340"/>
        <item h="1" x="134"/>
        <item h="1" x="243"/>
        <item h="1" x="1196"/>
        <item h="1" x="1628"/>
        <item h="1" x="1040"/>
        <item h="1" x="949"/>
        <item h="1" x="1449"/>
        <item h="1" x="827"/>
        <item h="1" x="536"/>
        <item h="1" x="991"/>
        <item h="1" x="98"/>
        <item h="1" x="553"/>
        <item h="1" x="355"/>
        <item h="1" x="323"/>
        <item h="1" x="94"/>
        <item h="1" x="990"/>
        <item h="1" x="1622"/>
        <item h="1" x="1160"/>
        <item h="1" x="1039"/>
        <item h="1" x="1205"/>
        <item h="1" x="436"/>
        <item h="1" x="1112"/>
        <item h="1" x="809"/>
        <item h="1" x="34"/>
        <item h="1" x="996"/>
        <item h="1" x="9"/>
        <item h="1" x="1401"/>
        <item h="1" x="440"/>
        <item h="1" x="443"/>
        <item h="1" x="1366"/>
        <item h="1" x="755"/>
        <item h="1" x="813"/>
        <item h="1" x="1185"/>
        <item h="1" x="410"/>
        <item h="1" x="1119"/>
        <item h="1" x="1237"/>
        <item h="1" x="1137"/>
        <item h="1" x="1070"/>
        <item h="1" x="116"/>
        <item h="1" x="1448"/>
        <item h="1" x="351"/>
        <item h="1" x="147"/>
        <item h="1" x="230"/>
        <item h="1" x="1017"/>
        <item h="1" x="1400"/>
        <item h="1" x="666"/>
        <item h="1" x="484"/>
        <item h="1" x="199"/>
        <item h="1" x="1476"/>
        <item h="1" x="1265"/>
        <item h="1" x="417"/>
        <item h="1" x="78"/>
        <item h="1" x="1485"/>
        <item h="1" x="1225"/>
        <item h="1" x="602"/>
        <item h="1" x="171"/>
        <item h="1" x="1389"/>
        <item h="1" x="571"/>
        <item h="1" x="600"/>
        <item h="1" x="1091"/>
        <item h="1" x="1475"/>
        <item h="1" x="1064"/>
        <item h="1" x="1109"/>
        <item h="1" x="354"/>
        <item h="1" x="1261"/>
        <item h="1" x="420"/>
        <item h="1" x="636"/>
        <item h="1" x="780"/>
        <item h="1" x="1603"/>
        <item h="1" x="728"/>
        <item h="1" x="319"/>
        <item h="1" x="396"/>
        <item h="1" x="362"/>
        <item h="1" x="1054"/>
        <item h="1" x="54"/>
        <item h="1" x="816"/>
        <item h="1" x="1593"/>
        <item h="1" x="1489"/>
        <item h="1" x="352"/>
        <item h="1" x="58"/>
        <item h="1" x="59"/>
        <item h="1" x="1258"/>
        <item h="1" x="1409"/>
        <item h="1" x="677"/>
        <item h="1" x="1029"/>
        <item h="1" x="735"/>
        <item h="1" x="1580"/>
        <item h="1" x="444"/>
        <item h="1" x="676"/>
        <item h="1" x="717"/>
        <item h="1" x="24"/>
        <item h="1" x="1015"/>
        <item h="1" x="1498"/>
        <item h="1" x="359"/>
        <item h="1" x="1179"/>
        <item h="1" x="227"/>
        <item h="1" x="564"/>
        <item h="1" x="41"/>
        <item h="1" x="1503"/>
        <item h="1" x="333"/>
        <item h="1" x="1053"/>
        <item h="1" x="467"/>
        <item h="1" x="579"/>
        <item h="1" x="37"/>
        <item h="1" x="640"/>
        <item h="1" x="12"/>
        <item h="1" x="1471"/>
        <item h="1" x="994"/>
        <item h="1" x="421"/>
        <item h="1" x="573"/>
        <item h="1" x="176"/>
        <item h="1" x="704"/>
        <item h="1" x="191"/>
        <item h="1" x="830"/>
        <item h="1" x="335"/>
        <item h="1" x="1323"/>
        <item h="1" x="197"/>
        <item h="1" x="1135"/>
        <item h="1" x="753"/>
        <item h="1" x="1343"/>
        <item h="1" x="367"/>
        <item h="1" x="403"/>
        <item h="1" x="1576"/>
        <item h="1" x="11"/>
        <item h="1" x="1406"/>
        <item h="1" x="807"/>
        <item h="1" x="643"/>
        <item h="1" x="876"/>
        <item h="1" x="97"/>
        <item h="1" x="761"/>
        <item h="1" x="137"/>
        <item h="1" x="1003"/>
        <item h="1" x="1325"/>
        <item h="1" x="634"/>
        <item h="1" x="936"/>
        <item h="1" x="167"/>
        <item h="1" x="1063"/>
        <item h="1" x="698"/>
        <item h="1" x="1123"/>
        <item h="1" x="141"/>
        <item h="1" x="343"/>
        <item h="1" x="661"/>
        <item h="1" x="710"/>
        <item h="1" x="1211"/>
        <item h="1" x="273"/>
        <item h="1" x="801"/>
        <item h="1" x="529"/>
        <item h="1" x="1584"/>
        <item h="1" x="969"/>
        <item h="1" x="1127"/>
        <item h="1" x="316"/>
        <item h="1" x="1387"/>
        <item h="1" x="1210"/>
        <item h="1" x="1526"/>
        <item h="1" x="847"/>
        <item h="1" x="1093"/>
        <item h="1" x="794"/>
        <item h="1" x="1510"/>
        <item h="1" x="1068"/>
        <item h="1" x="787"/>
        <item h="1" x="320"/>
        <item h="1" x="1625"/>
        <item h="1" x="145"/>
        <item h="1" x="1564"/>
        <item h="1" x="776"/>
        <item h="1" x="1570"/>
        <item h="1" x="1586"/>
        <item h="1" x="586"/>
        <item h="1" x="424"/>
        <item h="1" x="619"/>
        <item h="1" x="925"/>
        <item h="1" x="133"/>
        <item h="1" x="1412"/>
        <item h="1" x="1256"/>
        <item h="1" x="263"/>
        <item h="1" x="718"/>
        <item h="1" x="1442"/>
        <item h="1" x="184"/>
        <item h="1" x="599"/>
        <item h="1" x="138"/>
        <item h="1" x="108"/>
        <item h="1" x="433"/>
        <item h="1" x="823"/>
        <item h="1" x="1044"/>
        <item h="1" x="121"/>
        <item h="1" x="120"/>
        <item h="1" x="1042"/>
        <item h="1" x="1219"/>
        <item h="1" x="1531"/>
        <item h="1" x="1019"/>
        <item h="1" x="1152"/>
        <item h="1" x="1561"/>
        <item h="1" x="1126"/>
        <item h="1" x="1106"/>
        <item h="1" x="530"/>
        <item h="1" x="1088"/>
        <item h="1" x="206"/>
        <item h="1" x="489"/>
        <item h="1" x="349"/>
        <item h="1" x="1591"/>
        <item h="1" x="446"/>
        <item h="1" x="729"/>
        <item h="1" x="749"/>
        <item h="1" x="720"/>
        <item h="1" x="279"/>
        <item h="1" x="952"/>
        <item h="1" x="1647"/>
        <item h="1" x="83"/>
        <item h="1" x="635"/>
        <item h="1" x="1359"/>
        <item h="1" x="6"/>
        <item h="1" x="1575"/>
        <item h="1" x="557"/>
        <item h="1" x="685"/>
        <item h="1" x="627"/>
        <item h="1" x="507"/>
        <item h="1" x="379"/>
        <item h="1" x="1426"/>
        <item h="1" x="1108"/>
        <item h="1" x="384"/>
        <item h="1" x="895"/>
        <item h="1" x="582"/>
        <item h="1" x="1176"/>
        <item h="1" x="248"/>
        <item h="1" x="1212"/>
        <item h="1" x="1378"/>
        <item h="1" x="1030"/>
        <item h="1" x="1224"/>
        <item h="1" x="1075"/>
        <item h="1" x="327"/>
        <item h="1" x="1175"/>
        <item h="1" x="1145"/>
        <item h="1" x="118"/>
        <item h="1" x="57"/>
        <item h="1" x="1099"/>
        <item h="1" x="1642"/>
        <item h="1" x="1439"/>
        <item h="1" x="744"/>
        <item h="1" x="1156"/>
        <item h="1" x="210"/>
        <item h="1" x="906"/>
        <item h="1" x="560"/>
        <item h="1" x="1450"/>
        <item h="1" x="708"/>
        <item h="1" x="1594"/>
        <item h="1" x="1270"/>
        <item h="1" x="673"/>
        <item h="1" x="648"/>
        <item h="1" x="984"/>
        <item h="1" x="232"/>
        <item h="1" x="51"/>
        <item h="1" x="1382"/>
        <item h="1" x="622"/>
        <item h="1" x="1291"/>
        <item h="1" x="15"/>
        <item h="1" x="501"/>
        <item h="1" x="1328"/>
        <item h="1" x="785"/>
        <item h="1" x="965"/>
        <item h="1" x="1590"/>
        <item h="1" x="653"/>
        <item h="1" x="111"/>
        <item h="1" x="434"/>
        <item h="1" x="1304"/>
        <item h="1" x="1181"/>
        <item h="1" x="1226"/>
        <item h="1" x="1278"/>
        <item h="1" x="1129"/>
        <item h="1" x="164"/>
        <item h="1" x="35"/>
        <item h="1" x="179"/>
        <item h="1" x="924"/>
        <item h="1" x="149"/>
        <item h="1" x="1460"/>
        <item h="1" x="1432"/>
        <item h="1" x="1415"/>
        <item h="1" x="378"/>
        <item h="1" x="783"/>
        <item h="1" x="759"/>
        <item h="1" x="1505"/>
        <item h="1" x="1253"/>
        <item h="1" x="1360"/>
        <item h="1" x="380"/>
        <item h="1" x="119"/>
        <item h="1" x="93"/>
        <item h="1" x="805"/>
        <item h="1" x="771"/>
        <item h="1" x="33"/>
        <item h="1" x="686"/>
        <item h="1" x="1596"/>
        <item h="1" x="1033"/>
        <item h="1" x="439"/>
        <item h="1" x="303"/>
        <item h="1" x="348"/>
        <item h="1" x="524"/>
        <item h="1" x="215"/>
        <item h="1" x="66"/>
        <item h="1" x="265"/>
        <item h="1" x="650"/>
        <item h="1" x="387"/>
        <item h="1" x="341"/>
        <item h="1" x="1452"/>
        <item h="1" x="69"/>
        <item h="1" x="329"/>
        <item h="1" x="304"/>
        <item h="1" x="624"/>
        <item h="1" x="939"/>
        <item h="1" x="1445"/>
        <item h="1" x="645"/>
        <item h="1" x="920"/>
        <item h="1" x="95"/>
        <item h="1" x="719"/>
        <item h="1" x="1434"/>
        <item h="1" x="508"/>
        <item h="1" x="1579"/>
        <item h="1" x="521"/>
        <item h="1" x="1197"/>
        <item h="1" x="1332"/>
        <item h="1" x="241"/>
        <item h="1" x="306"/>
        <item h="1" x="364"/>
        <item h="1" x="1223"/>
        <item h="1" x="1183"/>
        <item h="1" x="913"/>
        <item h="1" x="797"/>
        <item h="1" x="315"/>
        <item h="1" x="1244"/>
        <item h="1" x="462"/>
        <item h="1" x="1551"/>
        <item h="1" x="1236"/>
        <item h="1" x="402"/>
        <item h="1" x="473"/>
        <item h="1" x="180"/>
        <item h="1" x="881"/>
        <item h="1" x="386"/>
        <item h="1" x="544"/>
        <item h="1" x="418"/>
        <item h="1" x="868"/>
        <item h="1" x="61"/>
        <item h="1" x="836"/>
        <item h="1" x="1447"/>
        <item h="1" x="758"/>
        <item h="1" x="576"/>
        <item h="1" x="1010"/>
        <item h="1" x="711"/>
        <item h="1" x="257"/>
        <item h="1" x="568"/>
        <item h="1" x="29"/>
        <item h="1" x="934"/>
        <item h="1" x="2"/>
        <item h="1" x="314"/>
        <item h="1" x="671"/>
        <item h="1" x="1065"/>
        <item h="1" x="25"/>
        <item h="1" x="607"/>
        <item h="1" x="862"/>
        <item h="1" x="763"/>
        <item h="1" x="64"/>
        <item h="1" x="317"/>
        <item h="1" x="163"/>
        <item h="1" x="482"/>
        <item h="1" x="631"/>
        <item h="1" x="1646"/>
        <item h="1" x="1601"/>
        <item h="1" x="1041"/>
        <item h="1" x="125"/>
        <item h="1" x="889"/>
        <item h="1" x="1233"/>
        <item h="1" x="798"/>
        <item h="1" x="17"/>
        <item h="1" x="628"/>
        <item h="1" x="1495"/>
        <item h="1" x="1083"/>
        <item h="1" x="55"/>
        <item h="1" x="1607"/>
        <item h="1" x="1455"/>
        <item h="1" x="262"/>
        <item h="1" x="1613"/>
        <item h="1" x="963"/>
        <item h="1" x="460"/>
        <item h="1" x="240"/>
        <item h="1" x="114"/>
        <item h="1" x="48"/>
        <item h="1" x="908"/>
        <item h="1" x="471"/>
        <item h="1" x="1037"/>
        <item h="1" x="601"/>
        <item h="1" x="1638"/>
        <item h="1" x="237"/>
        <item h="1" x="449"/>
        <item h="1" x="1397"/>
        <item h="1" x="399"/>
        <item h="1" x="1614"/>
        <item h="1" x="646"/>
        <item h="1" x="1490"/>
        <item h="1" x="32"/>
        <item h="1" x="205"/>
        <item h="1" x="864"/>
        <item h="1" x="575"/>
        <item h="1" x="1318"/>
        <item h="1" x="1025"/>
        <item h="1" x="36"/>
        <item h="1" x="280"/>
        <item h="1" x="1182"/>
        <item h="1" x="1098"/>
        <item h="1" x="567"/>
        <item h="1" x="1209"/>
        <item h="1" x="353"/>
        <item h="1" x="1341"/>
        <item h="1" x="1365"/>
        <item h="1" x="578"/>
        <item h="1" x="1169"/>
        <item h="1" x="290"/>
        <item h="1" x="750"/>
        <item h="1" x="1480"/>
        <item h="1" x="122"/>
        <item h="1" x="505"/>
        <item h="1" x="950"/>
        <item h="1" x="331"/>
        <item h="1" x="1435"/>
        <item h="1" x="1509"/>
        <item h="1" x="1606"/>
        <item h="1" x="107"/>
        <item h="1" x="589"/>
        <item h="1" x="1347"/>
        <item h="1" x="722"/>
        <item h="1" x="923"/>
        <item h="1" x="1082"/>
        <item h="1" x="548"/>
        <item h="1" x="1218"/>
        <item h="1" x="1101"/>
        <item h="1" x="894"/>
        <item h="1" x="450"/>
        <item h="1" x="814"/>
        <item h="1" x="1018"/>
        <item h="1" x="1217"/>
        <item h="1" x="400"/>
        <item h="1" x="264"/>
        <item h="1" x="852"/>
        <item h="1" x="1529"/>
        <item h="1" x="1484"/>
        <item h="1" x="1361"/>
        <item h="1" x="810"/>
        <item h="1" x="406"/>
        <item h="1" x="115"/>
        <item h="1" x="938"/>
        <item h="1" x="546"/>
        <item h="1" x="493"/>
        <item h="1" x="150"/>
        <item h="1" x="27"/>
        <item h="1" x="1649"/>
        <item h="1" x="1213"/>
        <item h="1" x="1516"/>
        <item h="1" x="882"/>
        <item h="1" x="875"/>
        <item h="1" x="1216"/>
        <item h="1" x="709"/>
        <item h="1" x="1281"/>
        <item h="1" x="770"/>
        <item h="1" x="1045"/>
        <item h="1" x="382"/>
        <item h="1" x="1282"/>
        <item h="1" x="1440"/>
        <item h="1" x="477"/>
        <item h="1" x="46"/>
        <item h="1" x="792"/>
        <item h="1" x="181"/>
        <item h="1" x="848"/>
        <item h="1" x="62"/>
        <item h="1" x="747"/>
        <item h="1" x="275"/>
        <item h="1" x="350"/>
        <item h="1" x="1364"/>
        <item h="1" x="278"/>
        <item h="1" x="1372"/>
        <item h="1" x="1391"/>
        <item h="1" x="1528"/>
        <item h="1" x="748"/>
        <item h="1" x="86"/>
        <item h="1" x="285"/>
        <item h="1" x="188"/>
        <item h="1" x="674"/>
        <item h="1" x="1167"/>
        <item h="1" x="713"/>
        <item h="1" x="690"/>
        <item h="1" x="398"/>
        <item h="1" x="620"/>
        <item h="1" x="723"/>
        <item h="1" x="463"/>
        <item h="1" x="187"/>
        <item h="1" x="543"/>
        <item h="1" x="570"/>
        <item h="1" x="1051"/>
        <item h="1" x="79"/>
        <item h="1" x="165"/>
        <item h="1" x="161"/>
        <item h="1" x="1634"/>
        <item h="1" x="1060"/>
        <item h="1" x="1257"/>
        <item h="1" x="1138"/>
        <item h="1" x="7"/>
        <item h="1" x="1151"/>
        <item h="1" x="613"/>
        <item h="1" x="903"/>
        <item h="1" x="714"/>
        <item h="1" x="539"/>
        <item h="1" x="1568"/>
        <item h="1" x="8"/>
        <item h="1" x="1234"/>
        <item h="1" x="1549"/>
        <item h="1" x="130"/>
        <item h="1" x="428"/>
        <item h="1" x="1067"/>
        <item h="1" x="1140"/>
        <item h="1" x="1600"/>
        <item h="1" x="910"/>
        <item h="1" x="1262"/>
        <item h="1" x="1273"/>
        <item h="1" x="208"/>
        <item h="1" x="1207"/>
        <item h="1" x="117"/>
        <item h="1" x="1501"/>
        <item h="1" x="1058"/>
        <item h="1" x="72"/>
        <item h="1" x="1247"/>
        <item h="1" x="565"/>
        <item h="1" x="1146"/>
        <item h="1" x="376"/>
        <item h="1" x="395"/>
        <item h="1" x="1367"/>
        <item h="1" x="1609"/>
        <item h="1" x="1016"/>
        <item h="1" x="236"/>
        <item h="1" x="1444"/>
        <item h="1" x="826"/>
        <item h="1" x="663"/>
        <item h="1" x="1294"/>
        <item h="1" x="363"/>
        <item h="1" x="1472"/>
        <item h="1" x="652"/>
        <item h="1" x="975"/>
        <item h="1" x="1128"/>
        <item h="1" x="532"/>
        <item h="1" x="700"/>
        <item h="1" x="511"/>
        <item h="1" x="1214"/>
        <item h="1" x="1002"/>
        <item h="1" x="1394"/>
        <item h="1" x="1130"/>
        <item h="1" x="1541"/>
        <item h="1" x="112"/>
        <item h="1" x="768"/>
        <item h="1" x="1459"/>
        <item h="1" x="1368"/>
        <item h="1" x="1559"/>
        <item h="1" x="867"/>
        <item h="1" x="1617"/>
        <item h="1" x="630"/>
        <item h="1" x="993"/>
        <item h="1" x="494"/>
        <item h="1" x="182"/>
        <item h="1" x="409"/>
        <item h="1" x="1371"/>
        <item h="1" x="102"/>
        <item h="1" x="38"/>
        <item h="1" x="1436"/>
        <item h="1" x="53"/>
        <item h="1" x="742"/>
        <item h="1" x="100"/>
        <item h="1" x="773"/>
        <item h="1" x="556"/>
        <item h="1" x="1518"/>
        <item h="1" x="229"/>
        <item h="1" x="135"/>
        <item h="1" x="1319"/>
        <item h="1" x="1246"/>
        <item h="1" x="669"/>
        <item h="1" x="850"/>
        <item h="1" x="1574"/>
        <item h="1" x="1121"/>
        <item h="1" x="1334"/>
        <item h="1" x="1357"/>
        <item h="1" x="1308"/>
        <item h="1" x="951"/>
        <item h="1" x="426"/>
        <item h="1" x="838"/>
        <item h="1" x="1050"/>
        <item h="1" x="912"/>
        <item h="1" x="1161"/>
        <item h="1" x="1073"/>
        <item h="1" x="954"/>
        <item h="1" x="962"/>
        <item h="1" x="495"/>
        <item h="1" x="1441"/>
        <item h="1" x="681"/>
        <item h="1" x="1604"/>
        <item h="1" x="726"/>
        <item h="1" x="1139"/>
        <item h="1" x="775"/>
        <item h="1" x="1544"/>
        <item h="1" x="572"/>
        <item h="1" x="929"/>
        <item h="1" x="605"/>
        <item h="1" x="1299"/>
        <item h="1" x="896"/>
        <item h="1" x="238"/>
        <item h="1" x="1536"/>
        <item h="1" x="967"/>
        <item h="1" x="1260"/>
        <item h="1" x="877"/>
        <item h="1" x="81"/>
        <item h="1" x="997"/>
        <item h="1" x="235"/>
        <item h="1" x="91"/>
        <item h="1" x="595"/>
        <item h="1" x="905"/>
        <item h="1" x="498"/>
        <item h="1" x="1431"/>
        <item h="1" x="211"/>
        <item h="1" x="1035"/>
        <item h="1" x="321"/>
        <item h="1" x="731"/>
        <item h="1" x="911"/>
        <item h="1" x="791"/>
        <item h="1" x="503"/>
        <item h="1" x="474"/>
        <item h="1" x="745"/>
        <item h="1" x="1092"/>
        <item h="1" x="1527"/>
        <item h="1" x="1038"/>
        <item h="1" x="1310"/>
        <item h="1" x="588"/>
        <item h="1" x="533"/>
        <item h="1" x="808"/>
        <item h="1" x="778"/>
        <item h="1" x="1184"/>
        <item h="1" x="1032"/>
        <item h="1" x="1069"/>
        <item h="1" x="1142"/>
        <item h="1" x="224"/>
        <item h="1" x="157"/>
        <item h="1" x="1524"/>
        <item h="1" x="1240"/>
        <item h="1" x="274"/>
        <item h="1" x="1477"/>
        <item h="1" x="1390"/>
        <item h="1" x="1102"/>
        <item h="1" x="563"/>
        <item h="1" x="982"/>
        <item h="1" x="1626"/>
        <item h="1" x="146"/>
        <item h="1" x="614"/>
        <item h="1" x="983"/>
        <item h="1" x="1621"/>
        <item h="1" x="1349"/>
        <item h="1" x="207"/>
        <item h="1" x="1355"/>
        <item h="1" x="1305"/>
        <item h="1" x="1095"/>
        <item h="1" x="1275"/>
        <item h="1" x="940"/>
        <item h="1" x="1177"/>
        <item h="1" x="899"/>
        <item h="1" x="31"/>
        <item h="1" x="1424"/>
        <item h="1" x="1292"/>
        <item h="1" x="1403"/>
        <item h="1" x="1229"/>
        <item h="1" x="756"/>
        <item h="1" x="665"/>
        <item h="1" x="23"/>
        <item h="1" x="516"/>
        <item h="1" x="1375"/>
        <item h="1" x="1548"/>
        <item h="1" x="299"/>
        <item h="1" x="1351"/>
        <item h="1" x="1028"/>
        <item h="1" x="76"/>
        <item h="1" x="1597"/>
        <item h="1" x="342"/>
        <item h="1" x="701"/>
        <item h="1" x="49"/>
        <item h="1" x="466"/>
        <item h="1" x="510"/>
        <item h="1" x="80"/>
        <item h="1" x="1124"/>
        <item h="1" x="1125"/>
        <item h="1" x="1407"/>
        <item h="1" x="774"/>
        <item h="1" x="1076"/>
        <item h="1" x="1467"/>
        <item h="1" x="1420"/>
        <item h="1" x="390"/>
        <item h="1" x="1202"/>
        <item h="1" x="828"/>
        <item h="1" x="1560"/>
        <item h="1" x="1330"/>
        <item h="1" x="50"/>
        <item h="1" x="1588"/>
        <item h="1" x="249"/>
        <item h="1" x="916"/>
        <item h="1" x="1381"/>
        <item h="1" x="1114"/>
        <item h="1" x="1512"/>
        <item h="1" x="3"/>
        <item h="1" x="1488"/>
        <item h="1" x="767"/>
        <item h="1" x="1186"/>
        <item h="1" x="712"/>
        <item h="1" x="401"/>
        <item h="1" x="796"/>
        <item h="1" x="1154"/>
        <item h="1" x="1619"/>
        <item h="1" x="831"/>
        <item h="1" x="472"/>
        <item h="1" x="598"/>
        <item h="1" x="883"/>
        <item h="1" x="1478"/>
        <item h="1" x="128"/>
        <item h="1" x="660"/>
        <item h="1" x="228"/>
        <item h="1" x="893"/>
        <item h="1" x="1057"/>
        <item h="1" x="129"/>
        <item h="1" x="919"/>
        <item h="1" x="283"/>
        <item h="1" x="1627"/>
        <item h="1" x="68"/>
        <item h="1" x="300"/>
        <item h="1" x="1566"/>
        <item h="1" x="1097"/>
        <item h="1" x="821"/>
        <item h="1" x="148"/>
        <item h="1" x="549"/>
        <item h="1" x="1052"/>
        <item h="1" x="976"/>
        <item h="1" x="202"/>
        <item h="1" x="1231"/>
        <item h="1" x="1110"/>
        <item h="1" x="1208"/>
        <item h="1" x="480"/>
        <item h="1" x="67"/>
        <item h="1" x="675"/>
        <item h="1" x="1103"/>
        <item h="1" x="457"/>
        <item h="1" x="871"/>
        <item h="1" x="1066"/>
        <item h="1" x="869"/>
        <item h="1" x="1385"/>
        <item h="1" x="1567"/>
        <item h="1" x="65"/>
        <item h="1" x="253"/>
        <item h="1" x="269"/>
        <item h="1" x="370"/>
        <item h="1" x="656"/>
        <item h="1" x="1517"/>
        <item h="1" x="764"/>
        <item h="1" x="1061"/>
        <item h="1" x="782"/>
        <item h="1" x="189"/>
        <item h="1" x="1264"/>
        <item h="1" x="1115"/>
        <item h="1" x="1337"/>
        <item h="1" x="1315"/>
        <item h="1" x="1107"/>
        <item h="1" x="824"/>
        <item h="1" x="1104"/>
        <item h="1" x="958"/>
        <item h="1" x="1136"/>
        <item h="1" x="1241"/>
        <item h="1" x="212"/>
        <item h="1" x="752"/>
        <item h="1" x="1077"/>
        <item h="1" x="89"/>
        <item h="1" x="971"/>
        <item h="1" x="585"/>
        <item h="1" x="1306"/>
        <item h="1" x="1147"/>
        <item h="1" x="1007"/>
        <item h="1" x="1392"/>
        <item h="1" x="914"/>
        <item h="1" x="1086"/>
        <item h="1" x="1230"/>
        <item h="1" x="1499"/>
        <item h="1" x="820"/>
        <item h="1" x="662"/>
        <item h="1" x="1005"/>
        <item h="1" x="1048"/>
        <item h="1" x="1380"/>
        <item h="1" x="392"/>
        <item h="1" x="45"/>
        <item h="1" x="1508"/>
        <item h="1" x="959"/>
        <item h="1" x="943"/>
        <item h="1" x="537"/>
        <item h="1" x="1009"/>
        <item h="1" x="583"/>
        <item h="1" x="891"/>
        <item h="1" x="523"/>
        <item h="1" x="1322"/>
        <item h="1" x="318"/>
        <item h="1" x="587"/>
        <item h="1" x="368"/>
        <item h="1" x="659"/>
        <item h="1" x="915"/>
        <item h="1" x="194"/>
        <item h="1" x="1162"/>
        <item h="1" x="879"/>
        <item h="1" x="391"/>
        <item h="1" x="1220"/>
        <item h="1" x="1386"/>
        <item h="1" x="611"/>
        <item h="1" x="1284"/>
        <item h="1" x="566"/>
        <item h="1" x="974"/>
        <item h="1" x="1474"/>
        <item h="1" x="469"/>
        <item h="1" x="186"/>
        <item h="1" x="1180"/>
        <item h="1" x="1399"/>
        <item h="1" x="1645"/>
        <item h="1" x="1369"/>
        <item h="1" x="1504"/>
        <item h="1" x="512"/>
        <item h="1" x="1379"/>
        <item h="1" x="203"/>
        <item h="1" x="1238"/>
        <item h="1" x="1316"/>
        <item h="1" x="1422"/>
        <item h="1" x="1122"/>
        <item h="1" x="817"/>
        <item h="1" x="1168"/>
        <item h="1" x="85"/>
        <item h="1" x="328"/>
        <item h="1" x="276"/>
        <item h="1" x="481"/>
        <item h="1" x="878"/>
        <item h="1" x="655"/>
        <item h="1" x="1272"/>
        <item h="1" x="16"/>
        <item h="1" x="1008"/>
        <item h="1" x="629"/>
        <item h="1" x="332"/>
        <item h="1" x="1602"/>
        <item h="1" x="1222"/>
        <item h="1" x="325"/>
        <item h="1" x="795"/>
        <item h="1" x="647"/>
        <item h="1" x="452"/>
        <item h="1" x="594"/>
        <item h="1" x="310"/>
        <item h="1" x="1522"/>
        <item h="1" x="1150"/>
        <item h="1" x="541"/>
        <item h="1" x="1191"/>
        <item h="1" x="581"/>
        <item h="1" x="931"/>
        <item h="1" x="1555"/>
        <item h="1" x="1581"/>
        <item h="1" x="1243"/>
        <item h="1" x="1303"/>
        <item h="1" x="1215"/>
        <item h="1" x="1373"/>
        <item h="1" x="1352"/>
        <item h="1" x="14"/>
        <item h="1" x="371"/>
        <item h="1" x="840"/>
        <item h="1" x="307"/>
        <item h="1" x="853"/>
        <item h="1" x="465"/>
        <item h="1" x="1096"/>
        <item h="1" x="1149"/>
        <item h="1" x="835"/>
        <item h="1" x="478"/>
        <item h="1" x="989"/>
        <item h="1" x="1358"/>
        <item h="1" x="1287"/>
        <item h="1" x="886"/>
        <item h="1" x="101"/>
        <item h="1" x="1317"/>
        <item h="1" x="1155"/>
        <item h="1" x="844"/>
        <item h="1" x="551"/>
        <item h="1" x="155"/>
        <item h="1" x="970"/>
        <item h="1" x="1087"/>
        <item h="1" x="1451"/>
        <item h="1" x="455"/>
        <item h="1" x="1271"/>
        <item h="1" x="860"/>
        <item h="1" x="625"/>
        <item h="1" x="383"/>
        <item h="1" x="593"/>
        <item h="1" x="404"/>
        <item h="1" x="1279"/>
        <item h="1" x="716"/>
        <item h="1" x="1228"/>
        <item h="1" x="1320"/>
        <item h="1" x="1469"/>
        <item h="1" x="99"/>
        <item h="1" x="427"/>
        <item h="1" x="890"/>
        <item h="1" x="389"/>
        <item h="1" x="1285"/>
        <item h="1" x="233"/>
        <item h="1" x="699"/>
        <item h="1" x="324"/>
        <item h="1" x="1189"/>
        <item h="1" x="1178"/>
        <item h="1" x="381"/>
        <item h="1" x="846"/>
        <item h="1" x="1615"/>
        <item h="1" x="1342"/>
        <item h="1" x="365"/>
        <item h="1" x="509"/>
        <item h="1" x="944"/>
        <item h="1" x="1582"/>
        <item h="1" x="219"/>
        <item h="1" x="873"/>
        <item h="1" x="832"/>
        <item h="1" x="407"/>
        <item h="1" x="1631"/>
        <item h="1" x="591"/>
        <item h="1" x="431"/>
        <item h="1" x="740"/>
        <item h="1" x="592"/>
        <item h="1" x="736"/>
        <item h="1" x="139"/>
        <item h="1" x="394"/>
        <item h="1" x="345"/>
        <item h="1" x="250"/>
        <item h="1" x="441"/>
        <item h="1" x="258"/>
        <item h="1" x="464"/>
        <item h="1" x="251"/>
        <item h="1" x="1454"/>
        <item h="1" x="160"/>
        <item h="1" x="1383"/>
        <item h="1" x="935"/>
        <item h="1" x="1563"/>
        <item h="1" x="1280"/>
        <item h="1" x="1252"/>
        <item h="1" x="475"/>
        <item h="1" x="408"/>
        <item h="1" x="928"/>
        <item h="1" x="1193"/>
        <item h="1" x="1288"/>
        <item h="1" x="678"/>
        <item h="1" x="966"/>
        <item h="1" x="218"/>
        <item h="1" x="1336"/>
        <item h="1" x="766"/>
        <item h="1" x="1623"/>
        <item h="1" x="1540"/>
        <item h="1" x="1165"/>
        <item h="1" x="1552"/>
        <item h="1" x="305"/>
        <item h="1" x="1464"/>
        <item h="1" x="63"/>
        <item h="1" x="849"/>
        <item h="1" x="1388"/>
        <item h="1" x="651"/>
        <item h="1" x="933"/>
        <item h="1" x="1331"/>
        <item h="1" x="312"/>
        <item h="1" x="706"/>
        <item h="1" x="987"/>
        <item h="1" x="451"/>
        <item h="1" x="1290"/>
        <item h="1" x="214"/>
        <item h="1" x="1465"/>
        <item h="1" x="1259"/>
        <item h="1" x="999"/>
        <item h="1" x="1036"/>
        <item h="1" x="1118"/>
        <item h="1" x="1457"/>
        <item h="1" x="52"/>
        <item h="1" x="1084"/>
        <item h="1" x="487"/>
        <item h="1" x="1046"/>
        <item h="1" x="136"/>
        <item h="1" x="855"/>
        <item h="1" x="623"/>
        <item h="1" x="295"/>
        <item h="1" x="1458"/>
        <item h="1" x="308"/>
        <item h="1" x="1640"/>
        <item h="1" x="917"/>
        <item h="1" x="1116"/>
        <item h="1" x="286"/>
        <item h="1" x="415"/>
        <item h="1" x="1554"/>
        <item h="1" x="1612"/>
        <item h="1" x="77"/>
        <item h="1" x="1203"/>
        <item h="1" x="1497"/>
        <item h="1" x="1632"/>
        <item h="1" x="411"/>
        <item h="1" x="106"/>
        <item h="1" x="1311"/>
        <item h="1" x="1267"/>
        <item h="1" x="1192"/>
        <item h="1" x="1427"/>
        <item h="1" x="1530"/>
        <item h="1" x="1538"/>
        <item h="1" x="670"/>
        <item h="1" x="693"/>
        <item h="1" x="397"/>
        <item h="1" x="872"/>
        <item h="1" x="369"/>
        <item h="1" x="70"/>
        <item h="1" x="604"/>
        <item h="1" x="942"/>
        <item h="1" x="1650"/>
        <item h="1" x="357"/>
        <item h="1" x="416"/>
        <item h="1" x="185"/>
        <item h="1" x="517"/>
        <item h="1" x="1242"/>
        <item h="1" x="1302"/>
        <item h="1" x="1071"/>
        <item h="1" x="819"/>
        <item h="1" x="1587"/>
        <item h="1" x="1410"/>
        <item h="1" x="20"/>
        <item h="1" x="1483"/>
        <item h="1" x="822"/>
        <item h="1" x="786"/>
        <item h="1" x="909"/>
        <item h="1" x="547"/>
        <item h="1" x="884"/>
        <item h="1" x="1345"/>
        <item h="1" x="743"/>
        <item h="1" x="154"/>
        <item h="1" x="1411"/>
        <item h="1" x="621"/>
        <item h="1" x="1533"/>
        <item h="1" x="374"/>
        <item h="1" x="1027"/>
        <item h="1" x="1047"/>
        <item h="1" x="445"/>
        <item h="1" x="1416"/>
        <item h="1" x="1437"/>
        <item h="1" x="302"/>
        <item h="1" x="1298"/>
        <item h="1" x="1335"/>
        <item h="1" x="1542"/>
        <item h="1" x="597"/>
        <item h="1" x="423"/>
        <item h="1" x="833"/>
        <item h="1" x="715"/>
        <item h="1" x="1340"/>
        <item h="1" x="1026"/>
        <item h="1" x="1396"/>
        <item h="1" x="497"/>
        <item h="1" x="74"/>
        <item h="1" x="73"/>
        <item h="1" x="811"/>
        <item h="1" x="998"/>
        <item h="1" x="1314"/>
        <item h="1" x="209"/>
        <item h="1" x="159"/>
        <item h="1" x="1254"/>
        <item h="1" x="488"/>
        <item h="1" x="639"/>
        <item h="1" x="961"/>
        <item h="1" x="1404"/>
        <item h="1" x="414"/>
        <item h="1" x="790"/>
        <item h="1" x="897"/>
        <item h="1" x="485"/>
        <item h="1" x="1034"/>
        <item h="1" x="866"/>
        <item h="1" x="201"/>
        <item h="1" x="1043"/>
        <item h="1" x="1255"/>
        <item h="1" x="1204"/>
        <item h="1" x="641"/>
        <item h="1" x="812"/>
        <item h="1" x="22"/>
        <item h="1" x="978"/>
        <item h="1" x="88"/>
        <item h="1" x="393"/>
        <item h="1" x="1166"/>
        <item h="1" x="1618"/>
        <item h="1" x="793"/>
        <item h="1" x="1405"/>
        <item h="1" x="337"/>
        <item h="1" x="413"/>
        <item h="1" x="242"/>
        <item h="1" x="459"/>
        <item h="1" x="626"/>
        <item h="1" x="1514"/>
        <item h="1" x="1547"/>
        <item h="1" x="986"/>
        <item h="1" x="900"/>
        <item h="1" x="260"/>
        <item h="1" x="268"/>
        <item h="1" x="5"/>
        <item h="1" x="26"/>
        <item h="1" x="1462"/>
        <item h="1" x="195"/>
        <item h="1" x="1605"/>
        <item h="1" x="1425"/>
        <item h="1" x="1143"/>
        <item h="1" x="1173"/>
        <item h="1" x="829"/>
        <item h="1" x="799"/>
        <item h="1" x="1481"/>
        <item h="1" x="545"/>
        <item h="1" x="918"/>
        <item h="1" x="1148"/>
        <item h="1" x="87"/>
        <item h="1" x="1090"/>
        <item h="1" x="377"/>
        <item h="1" x="644"/>
        <item h="1" x="1338"/>
        <item h="1" x="504"/>
        <item h="1" x="926"/>
        <item h="1" x="992"/>
        <item h="1" x="559"/>
        <item h="1" x="683"/>
        <item h="1" x="1589"/>
        <item h="1" x="762"/>
        <item h="1" x="857"/>
        <item h="1" x="313"/>
        <item h="1" x="880"/>
        <item h="1" x="47"/>
        <item h="1" x="213"/>
        <item h="1" x="956"/>
        <item h="1" x="1402"/>
        <item h="1" x="885"/>
        <item h="1" x="336"/>
        <item h="1" x="1421"/>
        <item h="1" x="859"/>
        <item h="1" x="1523"/>
        <item h="1" x="953"/>
        <item h="1" x="649"/>
        <item h="1" x="1346"/>
        <item h="1" x="858"/>
        <item h="1" x="921"/>
        <item h="1" x="1301"/>
        <item h="1" x="907"/>
        <item h="1" x="1300"/>
        <item h="1" x="266"/>
        <item h="1" x="82"/>
        <item h="1" x="825"/>
        <item h="1" x="892"/>
        <item h="1" x="311"/>
        <item h="1" x="777"/>
        <item h="1" x="356"/>
        <item h="1" x="1157"/>
        <item h="1" x="902"/>
        <item h="1" x="1648"/>
        <item h="1" x="874"/>
        <item h="1" x="166"/>
        <item h="1" x="1327"/>
        <item h="1" x="292"/>
        <item h="1" x="1595"/>
        <item h="1" x="254"/>
        <item h="1" x="344"/>
        <item h="1" x="1468"/>
        <item h="1" x="980"/>
        <item h="1" x="330"/>
        <item h="1" x="554"/>
        <item h="1" x="216"/>
        <item h="1" x="438"/>
        <item h="1" x="1187"/>
        <item h="1" x="113"/>
        <item h="1" x="1384"/>
        <item h="1" x="470"/>
        <item h="1" x="1461"/>
        <item h="1" x="531"/>
        <item h="1" x="347"/>
        <item h="1" x="1227"/>
        <item h="1" x="741"/>
        <item h="1" x="168"/>
        <item h="1" x="499"/>
        <item h="1" x="483"/>
        <item h="1" x="654"/>
        <item h="1" x="220"/>
        <item h="1" x="496"/>
        <item h="1" x="800"/>
        <item h="1" x="373"/>
        <item h="1" x="839"/>
        <item h="1" x="1370"/>
        <item h="1" x="1277"/>
        <item h="1" x="123"/>
        <item h="1" x="1056"/>
        <item h="1" x="687"/>
        <item h="1" x="96"/>
        <item h="1" x="104"/>
        <item h="1" x="518"/>
        <item h="1" x="863"/>
        <item h="1" x="672"/>
        <item h="1" x="1408"/>
        <item h="1" x="1430"/>
        <item h="1" x="927"/>
        <item h="1" x="658"/>
        <item h="1" x="385"/>
        <item h="1" x="1221"/>
        <item h="1" x="44"/>
        <item h="1" x="703"/>
        <item h="1" x="1324"/>
        <item h="1" x="375"/>
        <item h="1" x="843"/>
        <item h="1" x="1428"/>
        <item h="1" x="71"/>
        <item h="1" x="1249"/>
        <item h="1" x="995"/>
        <item h="1" x="865"/>
        <item h="1" x="366"/>
        <item h="1" x="338"/>
        <item h="1" x="1012"/>
        <item h="1" x="1333"/>
        <item h="1" x="1546"/>
        <item h="1" x="1443"/>
        <item h="1" x="297"/>
        <item h="1" x="1263"/>
        <item h="1" x="1513"/>
        <item h="1" x="898"/>
        <item h="1" x="156"/>
        <item h="1" x="1055"/>
        <item h="1" x="1163"/>
        <item h="1" x="173"/>
        <item h="1" x="1453"/>
        <item h="1" x="781"/>
        <item h="1" x="284"/>
        <item h="1" x="405"/>
        <item h="1" x="1577"/>
        <item h="1" x="1598"/>
        <item h="1" x="456"/>
        <item h="1" x="955"/>
        <item h="1" x="1521"/>
        <item h="1" x="682"/>
        <item h="1" x="1276"/>
        <item h="1" x="42"/>
        <item h="1" x="569"/>
        <item h="1" x="1562"/>
        <item h="1" x="358"/>
        <item h="1" x="657"/>
        <item h="1" x="577"/>
        <item h="1" x="1423"/>
        <item h="1" x="1433"/>
        <item h="1" x="1356"/>
        <item h="1" x="144"/>
        <item h="1" x="388"/>
        <item h="1" x="561"/>
        <item h="1" x="322"/>
        <item h="1" x="1446"/>
        <item h="1" x="1636"/>
        <item h="1" x="542"/>
        <item h="1" x="1006"/>
        <item h="1" x="615"/>
        <item h="1" x="1344"/>
        <item h="1" x="506"/>
        <item h="1" x="1195"/>
        <item h="1" x="861"/>
        <item h="1" x="1120"/>
        <item h="1" x="535"/>
        <item h="1" x="842"/>
        <item h="1" x="1235"/>
        <item h="1" x="730"/>
        <item h="1" x="1004"/>
        <item h="1" x="727"/>
        <item h="1" x="680"/>
        <item h="1" x="528"/>
        <item h="1" x="1620"/>
        <item h="1" x="1565"/>
        <item h="1" x="1269"/>
        <item h="1" x="1309"/>
        <item h="1" x="1171"/>
        <item h="1" x="1643"/>
        <item h="1" x="930"/>
        <item h="1" x="638"/>
        <item h="1" x="1491"/>
        <item h="1" x="192"/>
        <item h="1" x="1637"/>
        <item h="1" x="555"/>
        <item h="1" x="948"/>
        <item h="1" x="1153"/>
        <item h="1" x="222"/>
        <item h="1" x="1599"/>
        <item h="1" x="1525"/>
        <item h="1" x="1313"/>
        <item h="1" x="1539"/>
        <item h="1" x="1194"/>
        <item h="1" x="190"/>
        <item h="1" x="1398"/>
        <item h="1" x="1610"/>
        <item h="1" x="177"/>
        <item h="1" x="1286"/>
        <item h="1" x="1001"/>
        <item h="1" x="1295"/>
        <item h="1" x="904"/>
        <item h="1" x="760"/>
        <item h="1" x="1094"/>
        <item h="1" x="124"/>
        <item h="1" x="13"/>
        <item h="1" x="1144"/>
        <item h="1" x="1251"/>
        <item h="1" x="1473"/>
        <item h="1" x="1113"/>
        <item h="1" x="1021"/>
        <item h="1" x="1616"/>
        <item h="1" x="1141"/>
        <item h="1" x="603"/>
        <item h="1" x="679"/>
        <item h="1" x="513"/>
        <item h="1" x="247"/>
        <item h="1" x="169"/>
        <item h="1" x="174"/>
        <item h="1" x="887"/>
        <item h="1" x="1200"/>
        <item h="1" x="277"/>
        <item h="1" x="841"/>
        <item h="1" x="707"/>
        <item h="1" x="1079"/>
        <item h="1" x="1283"/>
        <item h="1" x="361"/>
        <item h="1" x="142"/>
        <item h="1" x="28"/>
        <item h="1" x="637"/>
        <item h="1" x="1496"/>
        <item h="1" x="534"/>
        <item h="1" x="981"/>
        <item h="1" x="110"/>
        <item h="1" x="540"/>
        <item h="1" x="288"/>
        <item h="1" x="725"/>
        <item h="1" x="870"/>
        <item h="1" x="43"/>
        <item h="1" x="804"/>
        <item h="1" x="1089"/>
        <item h="1" x="126"/>
        <item h="1" x="223"/>
        <item h="1" x="105"/>
        <item h="1" x="522"/>
        <item h="1" x="1515"/>
        <item h="1" x="610"/>
        <item h="1" x="1377"/>
        <item h="1" x="1558"/>
        <item h="1" x="1164"/>
        <item h="1" x="14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2" showAll="0"/>
    <pivotField dataField="1" numFmtId="2" showAll="0"/>
  </pivotFields>
  <rowFields count="1">
    <field x="0"/>
  </rowFields>
  <rowItems count="11">
    <i>
      <x v="2"/>
    </i>
    <i>
      <x v="8"/>
    </i>
    <i>
      <x v="6"/>
    </i>
    <i>
      <x v="5"/>
    </i>
    <i>
      <x v="9"/>
    </i>
    <i>
      <x v="4"/>
    </i>
    <i>
      <x v="1"/>
    </i>
    <i>
      <x v="7"/>
    </i>
    <i>
      <x/>
    </i>
    <i>
      <x v="3"/>
    </i>
    <i t="grand">
      <x/>
    </i>
  </rowItems>
  <colItems count="1">
    <i/>
  </colItems>
  <dataFields count="1">
    <dataField name="Общий оборот " fld="5" baseField="0" baseItem="2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B390A-9061-45BC-8522-B13AF93A71A9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 rowHeaderCaption="Тип клиента">
  <location ref="A3:B7" firstHeaderRow="1" firstDataRow="1" firstDataCol="1"/>
  <pivotFields count="2">
    <pivotField axis="axisRow" showAll="0">
      <items count="4">
        <item n="1"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клиентов 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BF4A4-3688-4A44-BA46-EDFD3CADEE12}" name="Сводная таблица4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Статус кредита">
  <location ref="A3:B6" firstHeaderRow="1" firstDataRow="1" firstDataCol="1"/>
  <pivotFields count="3">
    <pivotField axis="axisRow" showAll="0">
      <items count="3">
        <item x="1"/>
        <item x="0"/>
        <item t="default"/>
      </items>
    </pivotField>
    <pivotField showAll="0"/>
    <pivotField dataField="1" numFmtId="1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Доля " fld="2" baseField="0" baseItem="0" numFmtId="10"/>
  </dataFields>
  <formats count="3">
    <format dxfId="13">
      <pivotArea dataOnly="0" outline="0" fieldPosition="0">
        <references count="1">
          <reference field="4294967294" count="1">
            <x v="0"/>
          </reference>
        </references>
      </pivotArea>
    </format>
    <format dxfId="12">
      <pivotArea dataOnly="0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6FC5A7-5E34-4F38-8F3C-95112B2C502F}" name="tblAccountActivity" displayName="tblAccountActivity" ref="A1:F1652" totalsRowShown="0" headerRowDxfId="10">
  <autoFilter ref="A1:F1652" xr:uid="{AC6FC5A7-5E34-4F38-8F3C-95112B2C502F}"/>
  <tableColumns count="6">
    <tableColumn id="1" xr3:uid="{FD07ADE6-CB5A-4B65-BBBE-F9777578FB2C}" name="ID счёта"/>
    <tableColumn id="2" xr3:uid="{8CB0FDEA-62FF-418F-AED5-B129D30A6693}" name="Исходящие операции"/>
    <tableColumn id="3" xr3:uid="{C491C3B0-19F1-4B3A-99F2-50A2F5DD8920}" name="Исходящая сумма" dataDxfId="9"/>
    <tableColumn id="4" xr3:uid="{76E3E4BA-BB1A-4EF1-9DA7-2141F04FCE78}" name="Входящие операции"/>
    <tableColumn id="5" xr3:uid="{B53D90D3-2AA2-4300-9B3E-A4D3ADF39708}" name="Входящая сумма" dataDxfId="8"/>
    <tableColumn id="6" xr3:uid="{59A794A0-C3A9-47DE-B5FF-AC1E32E2F18A}" name="Общий оборот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28799-2C20-4FE5-818F-7705925E47CA}" name="tblCustomerActivity" displayName="tblCustomerActivity" ref="A1:D863" totalsRowShown="0" headerRowDxfId="6">
  <autoFilter ref="A1:D863" xr:uid="{AD028799-2C20-4FE5-818F-7705925E47CA}"/>
  <tableColumns count="4">
    <tableColumn id="1" xr3:uid="{60FE3DED-FDD0-4956-8296-DF0AF4D4C3DD}" name="ID клиента"/>
    <tableColumn id="2" xr3:uid="{F672E4F4-81A6-41F7-A533-802BF8A1B50B}" name="Исходящие операции"/>
    <tableColumn id="3" xr3:uid="{73F2AAB7-9A19-4AFD-8E92-D2BAD17BDDB3}" name="Сумма исходящих операций" dataDxfId="5"/>
    <tableColumn id="4" xr3:uid="{38859502-8219-4DCA-8CCD-1CB72763B3CF}" name="Ранг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1F5E44-6133-49EE-A59B-57048625C89F}" name="tblCustomerTypes" displayName="tblCustomerTypes" ref="A1:B4" totalsRowShown="0" headerRowDxfId="4">
  <autoFilter ref="A1:B4" xr:uid="{4B1F5E44-6133-49EE-A59B-57048625C89F}"/>
  <sortState xmlns:xlrd2="http://schemas.microsoft.com/office/spreadsheetml/2017/richdata2" ref="A2:B4">
    <sortCondition ref="A1:A4"/>
  </sortState>
  <tableColumns count="2">
    <tableColumn id="1" xr3:uid="{09CF8127-4A8E-40B3-886D-A41FCA6E9A2E}" name="Тип клиента"/>
    <tableColumn id="2" xr3:uid="{C02FD303-3B61-48EF-B35C-66D021282194}" name="Количество клиенто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A1E109-DE64-44B1-8B0A-7DDD702E6C47}" name="tblTransactionTypes" displayName="tblTransactionTypes" ref="A1:C5" totalsRowShown="0" headerRowDxfId="3">
  <autoFilter ref="A1:C5" xr:uid="{03A1E109-DE64-44B1-8B0A-7DDD702E6C47}"/>
  <tableColumns count="3">
    <tableColumn id="1" xr3:uid="{A116D783-40DD-4718-A5BF-B1375AE93F53}" name="Тип транзакции"/>
    <tableColumn id="2" xr3:uid="{B7F21E30-B64E-489E-839F-797963175A9E}" name="Количество операций"/>
    <tableColumn id="3" xr3:uid="{383A2200-45AE-4428-AF16-A1A980ED604F}" name="Общий объём операций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596B-2ED2-48B7-BCED-E39ABB274E2B}">
  <dimension ref="B2:H5"/>
  <sheetViews>
    <sheetView showGridLines="0" zoomScale="73" zoomScaleNormal="44" workbookViewId="0">
      <selection activeCell="B4" sqref="B4:B5"/>
    </sheetView>
  </sheetViews>
  <sheetFormatPr defaultRowHeight="14.5" x14ac:dyDescent="0.35"/>
  <cols>
    <col min="2" max="2" width="13.453125" customWidth="1"/>
    <col min="4" max="4" width="11.54296875" customWidth="1"/>
    <col min="6" max="6" width="15.90625" customWidth="1"/>
    <col min="8" max="8" width="17.453125" customWidth="1"/>
  </cols>
  <sheetData>
    <row r="2" spans="2:8" ht="23.5" x14ac:dyDescent="0.55000000000000004">
      <c r="B2" s="14" t="s">
        <v>39</v>
      </c>
    </row>
    <row r="4" spans="2:8" ht="26" x14ac:dyDescent="0.6">
      <c r="B4" s="18">
        <f>аnalysis!B2</f>
        <v>1100</v>
      </c>
      <c r="D4" s="18">
        <f>аnalysis!B3</f>
        <v>1651</v>
      </c>
      <c r="F4" s="18">
        <f>аnalysis!B6</f>
        <v>49500</v>
      </c>
      <c r="H4" s="17">
        <f>аnalysis!B8</f>
        <v>0.18049666868564507</v>
      </c>
    </row>
    <row r="5" spans="2:8" ht="14.5" customHeight="1" x14ac:dyDescent="0.35">
      <c r="B5" s="16" t="s">
        <v>16</v>
      </c>
      <c r="D5" s="15" t="s">
        <v>17</v>
      </c>
      <c r="F5" s="15" t="s">
        <v>40</v>
      </c>
      <c r="H5" s="16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CDEC-639B-425A-8C94-9AE2C623175C}">
  <dimension ref="A1:F8"/>
  <sheetViews>
    <sheetView workbookViewId="0">
      <selection activeCell="B2" sqref="B2"/>
    </sheetView>
  </sheetViews>
  <sheetFormatPr defaultRowHeight="14.5" x14ac:dyDescent="0.35"/>
  <cols>
    <col min="1" max="1" width="50.26953125" customWidth="1"/>
    <col min="2" max="2" width="12" customWidth="1"/>
    <col min="4" max="4" width="13.81640625" bestFit="1" customWidth="1"/>
    <col min="5" max="5" width="10.7265625" bestFit="1" customWidth="1"/>
  </cols>
  <sheetData>
    <row r="1" spans="1:6" x14ac:dyDescent="0.35">
      <c r="A1" s="9" t="s">
        <v>14</v>
      </c>
      <c r="B1" s="8" t="s">
        <v>15</v>
      </c>
      <c r="D1" t="s">
        <v>28</v>
      </c>
      <c r="E1" t="s">
        <v>29</v>
      </c>
      <c r="F1" t="s">
        <v>30</v>
      </c>
    </row>
    <row r="2" spans="1:6" x14ac:dyDescent="0.35">
      <c r="A2" t="s">
        <v>16</v>
      </c>
      <c r="B2">
        <f>SUM(customer_types!B2:B4)</f>
        <v>1100</v>
      </c>
      <c r="D2" t="s">
        <v>31</v>
      </c>
      <c r="E2">
        <f>B7</f>
        <v>298</v>
      </c>
      <c r="F2" s="7">
        <f>B7/B3</f>
        <v>0.18049666868564507</v>
      </c>
    </row>
    <row r="3" spans="1:6" x14ac:dyDescent="0.35">
      <c r="A3" s="6" t="s">
        <v>17</v>
      </c>
      <c r="B3">
        <f>COUNTA(account_activity!A:A)-1</f>
        <v>1651</v>
      </c>
      <c r="D3" t="s">
        <v>32</v>
      </c>
      <c r="E3">
        <f>B3-B7</f>
        <v>1353</v>
      </c>
      <c r="F3" s="7">
        <f>E3/B3</f>
        <v>0.81950333131435493</v>
      </c>
    </row>
    <row r="4" spans="1:6" x14ac:dyDescent="0.35">
      <c r="A4" s="6" t="s">
        <v>18</v>
      </c>
      <c r="B4" s="6">
        <v>720</v>
      </c>
    </row>
    <row r="5" spans="1:6" x14ac:dyDescent="0.35">
      <c r="A5" s="9" t="s">
        <v>19</v>
      </c>
      <c r="B5" s="6">
        <v>276</v>
      </c>
    </row>
    <row r="6" spans="1:6" x14ac:dyDescent="0.35">
      <c r="A6" s="6" t="s">
        <v>20</v>
      </c>
      <c r="B6" s="6">
        <f>SUM(transaction_types!B2:B5)</f>
        <v>49500</v>
      </c>
    </row>
    <row r="7" spans="1:6" x14ac:dyDescent="0.35">
      <c r="A7" s="6" t="s">
        <v>21</v>
      </c>
      <c r="B7" s="6">
        <v>298</v>
      </c>
    </row>
    <row r="8" spans="1:6" x14ac:dyDescent="0.35">
      <c r="A8" s="9" t="s">
        <v>22</v>
      </c>
      <c r="B8" s="7">
        <f>B7/B3</f>
        <v>0.18049666868564507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AB10-A88F-445A-AC91-FD460E23E23F}">
  <dimension ref="A1:A16"/>
  <sheetViews>
    <sheetView showGridLines="0" tabSelected="1" workbookViewId="0">
      <selection activeCell="H18" sqref="H18"/>
    </sheetView>
  </sheetViews>
  <sheetFormatPr defaultRowHeight="14.5" x14ac:dyDescent="0.35"/>
  <sheetData>
    <row r="1" spans="1:1" ht="26" x14ac:dyDescent="0.6">
      <c r="A1" s="19" t="s">
        <v>41</v>
      </c>
    </row>
    <row r="3" spans="1:1" x14ac:dyDescent="0.35">
      <c r="A3" s="20" t="s">
        <v>42</v>
      </c>
    </row>
    <row r="4" spans="1:1" ht="15.5" x14ac:dyDescent="0.35">
      <c r="A4" s="21" t="s">
        <v>43</v>
      </c>
    </row>
    <row r="6" spans="1:1" x14ac:dyDescent="0.35">
      <c r="A6" s="20" t="s">
        <v>44</v>
      </c>
    </row>
    <row r="7" spans="1:1" ht="15.5" x14ac:dyDescent="0.35">
      <c r="A7" s="21" t="s">
        <v>46</v>
      </c>
    </row>
    <row r="9" spans="1:1" x14ac:dyDescent="0.35">
      <c r="A9" s="20" t="s">
        <v>45</v>
      </c>
    </row>
    <row r="10" spans="1:1" ht="15.5" x14ac:dyDescent="0.35">
      <c r="A10" s="21" t="s">
        <v>47</v>
      </c>
    </row>
    <row r="12" spans="1:1" x14ac:dyDescent="0.35">
      <c r="A12" s="20" t="s">
        <v>49</v>
      </c>
    </row>
    <row r="13" spans="1:1" ht="15.5" x14ac:dyDescent="0.35">
      <c r="A13" s="21" t="s">
        <v>48</v>
      </c>
    </row>
    <row r="15" spans="1:1" x14ac:dyDescent="0.35">
      <c r="A15" s="20" t="s">
        <v>50</v>
      </c>
    </row>
    <row r="16" spans="1:1" ht="15.5" x14ac:dyDescent="0.35">
      <c r="A16" s="2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A4D8-D00E-4730-9342-D4CBE8D2B929}">
  <dimension ref="A1:F1652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2.26953125" bestFit="1" customWidth="1"/>
    <col min="2" max="2" width="24.453125" bestFit="1" customWidth="1"/>
    <col min="3" max="3" width="21.36328125" style="1" bestFit="1" customWidth="1"/>
    <col min="4" max="4" width="23.453125" bestFit="1" customWidth="1"/>
    <col min="5" max="5" width="20.36328125" style="1" bestFit="1" customWidth="1"/>
    <col min="6" max="6" width="18.36328125" style="1" bestFit="1" customWidth="1"/>
  </cols>
  <sheetData>
    <row r="1" spans="1:6" s="4" customFormat="1" x14ac:dyDescent="0.35">
      <c r="A1" s="4" t="s">
        <v>7</v>
      </c>
      <c r="B1" s="4" t="s">
        <v>1</v>
      </c>
      <c r="C1" s="5" t="s">
        <v>8</v>
      </c>
      <c r="D1" s="4" t="s">
        <v>9</v>
      </c>
      <c r="E1" s="5" t="s">
        <v>10</v>
      </c>
      <c r="F1" s="5" t="s">
        <v>11</v>
      </c>
    </row>
    <row r="2" spans="1:6" x14ac:dyDescent="0.35">
      <c r="A2">
        <v>200118</v>
      </c>
      <c r="B2">
        <v>80</v>
      </c>
      <c r="C2" s="1">
        <v>193859.65</v>
      </c>
      <c r="D2">
        <v>74</v>
      </c>
      <c r="E2" s="1">
        <v>169282.38</v>
      </c>
      <c r="F2" s="1">
        <v>363142.03</v>
      </c>
    </row>
    <row r="3" spans="1:6" x14ac:dyDescent="0.35">
      <c r="A3">
        <v>200147</v>
      </c>
      <c r="B3">
        <v>50</v>
      </c>
      <c r="C3" s="1">
        <v>145599.57</v>
      </c>
      <c r="D3">
        <v>68</v>
      </c>
      <c r="E3" s="1">
        <v>183047.66</v>
      </c>
      <c r="F3" s="1">
        <v>328647.23</v>
      </c>
    </row>
    <row r="4" spans="1:6" x14ac:dyDescent="0.35">
      <c r="A4">
        <v>200656</v>
      </c>
      <c r="B4">
        <v>62</v>
      </c>
      <c r="C4" s="1">
        <v>163800.04999999999</v>
      </c>
      <c r="D4">
        <v>60</v>
      </c>
      <c r="E4" s="1">
        <v>151379.19</v>
      </c>
      <c r="F4" s="1">
        <v>315179.24</v>
      </c>
    </row>
    <row r="5" spans="1:6" x14ac:dyDescent="0.35">
      <c r="A5">
        <v>201011</v>
      </c>
      <c r="B5">
        <v>53</v>
      </c>
      <c r="C5" s="1">
        <v>139129.72</v>
      </c>
      <c r="D5">
        <v>62</v>
      </c>
      <c r="E5" s="1">
        <v>167497.35999999999</v>
      </c>
      <c r="F5" s="1">
        <v>306627.07999999903</v>
      </c>
    </row>
    <row r="6" spans="1:6" x14ac:dyDescent="0.35">
      <c r="A6">
        <v>200186</v>
      </c>
      <c r="B6">
        <v>57</v>
      </c>
      <c r="C6" s="1">
        <v>147897.38</v>
      </c>
      <c r="D6">
        <v>54</v>
      </c>
      <c r="E6" s="1">
        <v>158053.85999999999</v>
      </c>
      <c r="F6" s="1">
        <v>305951.24</v>
      </c>
    </row>
    <row r="7" spans="1:6" x14ac:dyDescent="0.35">
      <c r="A7">
        <v>201405</v>
      </c>
      <c r="B7">
        <v>65</v>
      </c>
      <c r="C7" s="1">
        <v>154569.53</v>
      </c>
      <c r="D7">
        <v>62</v>
      </c>
      <c r="E7" s="1">
        <v>141323.75</v>
      </c>
      <c r="F7" s="1">
        <v>295893.28000000003</v>
      </c>
    </row>
    <row r="8" spans="1:6" x14ac:dyDescent="0.35">
      <c r="A8">
        <v>200517</v>
      </c>
      <c r="B8">
        <v>51</v>
      </c>
      <c r="C8" s="1">
        <v>138070.78</v>
      </c>
      <c r="D8">
        <v>57</v>
      </c>
      <c r="E8" s="1">
        <v>152406.57999999999</v>
      </c>
      <c r="F8" s="1">
        <v>290477.36</v>
      </c>
    </row>
    <row r="9" spans="1:6" x14ac:dyDescent="0.35">
      <c r="A9">
        <v>200807</v>
      </c>
      <c r="B9">
        <v>44</v>
      </c>
      <c r="C9" s="1">
        <v>128242.47</v>
      </c>
      <c r="D9">
        <v>53</v>
      </c>
      <c r="E9" s="1">
        <v>157739.07</v>
      </c>
      <c r="F9" s="1">
        <v>285981.53999999998</v>
      </c>
    </row>
    <row r="10" spans="1:6" x14ac:dyDescent="0.35">
      <c r="A10">
        <v>200814</v>
      </c>
      <c r="B10">
        <v>50</v>
      </c>
      <c r="C10" s="1">
        <v>128857.51</v>
      </c>
      <c r="D10">
        <v>63</v>
      </c>
      <c r="E10" s="1">
        <v>154276.85999999999</v>
      </c>
      <c r="F10" s="1">
        <v>283134.37</v>
      </c>
    </row>
    <row r="11" spans="1:6" x14ac:dyDescent="0.35">
      <c r="A11">
        <v>200332</v>
      </c>
      <c r="B11">
        <v>47</v>
      </c>
      <c r="C11" s="1">
        <v>114348.3</v>
      </c>
      <c r="D11">
        <v>60</v>
      </c>
      <c r="E11" s="1">
        <v>168204.33</v>
      </c>
      <c r="F11" s="1">
        <v>282552.63</v>
      </c>
    </row>
    <row r="12" spans="1:6" x14ac:dyDescent="0.35">
      <c r="A12">
        <v>200002</v>
      </c>
      <c r="B12">
        <v>57</v>
      </c>
      <c r="C12" s="1">
        <v>135649.45000000001</v>
      </c>
      <c r="D12">
        <v>63</v>
      </c>
      <c r="E12" s="1">
        <v>146457.71</v>
      </c>
      <c r="F12" s="1">
        <v>282107.15999999997</v>
      </c>
    </row>
    <row r="13" spans="1:6" x14ac:dyDescent="0.35">
      <c r="A13">
        <v>200430</v>
      </c>
      <c r="B13">
        <v>60</v>
      </c>
      <c r="C13" s="1">
        <v>155715.49</v>
      </c>
      <c r="D13">
        <v>51</v>
      </c>
      <c r="E13" s="1">
        <v>121718.46</v>
      </c>
      <c r="F13" s="1">
        <v>277433.95</v>
      </c>
    </row>
    <row r="14" spans="1:6" x14ac:dyDescent="0.35">
      <c r="A14">
        <v>200412</v>
      </c>
      <c r="B14">
        <v>61</v>
      </c>
      <c r="C14" s="1">
        <v>146062.19</v>
      </c>
      <c r="D14">
        <v>55</v>
      </c>
      <c r="E14" s="1">
        <v>129679.57</v>
      </c>
      <c r="F14" s="1">
        <v>275741.76</v>
      </c>
    </row>
    <row r="15" spans="1:6" x14ac:dyDescent="0.35">
      <c r="A15">
        <v>201605</v>
      </c>
      <c r="B15">
        <v>58</v>
      </c>
      <c r="C15" s="1">
        <v>152235.6</v>
      </c>
      <c r="D15">
        <v>58</v>
      </c>
      <c r="E15" s="1">
        <v>121250.75</v>
      </c>
      <c r="F15" s="1">
        <v>273486.34999999998</v>
      </c>
    </row>
    <row r="16" spans="1:6" x14ac:dyDescent="0.35">
      <c r="A16">
        <v>201171</v>
      </c>
      <c r="B16">
        <v>64</v>
      </c>
      <c r="C16" s="1">
        <v>143744.25</v>
      </c>
      <c r="D16">
        <v>52</v>
      </c>
      <c r="E16" s="1">
        <v>123125.96</v>
      </c>
      <c r="F16" s="1">
        <v>266870.21000000002</v>
      </c>
    </row>
    <row r="17" spans="1:6" x14ac:dyDescent="0.35">
      <c r="A17">
        <v>200561</v>
      </c>
      <c r="B17">
        <v>47</v>
      </c>
      <c r="C17" s="1">
        <v>109727.36</v>
      </c>
      <c r="D17">
        <v>60</v>
      </c>
      <c r="E17" s="1">
        <v>143692.94</v>
      </c>
      <c r="F17" s="1">
        <v>253420.3</v>
      </c>
    </row>
    <row r="18" spans="1:6" x14ac:dyDescent="0.35">
      <c r="A18">
        <v>201146</v>
      </c>
      <c r="B18">
        <v>35</v>
      </c>
      <c r="C18" s="1">
        <v>103445.2</v>
      </c>
      <c r="D18">
        <v>45</v>
      </c>
      <c r="E18" s="1">
        <v>132378.64000000001</v>
      </c>
      <c r="F18" s="1">
        <v>235823.84</v>
      </c>
    </row>
    <row r="19" spans="1:6" x14ac:dyDescent="0.35">
      <c r="A19">
        <v>200676</v>
      </c>
      <c r="B19">
        <v>36</v>
      </c>
      <c r="C19" s="1">
        <v>94790.56</v>
      </c>
      <c r="D19">
        <v>43</v>
      </c>
      <c r="E19" s="1">
        <v>119072.91</v>
      </c>
      <c r="F19" s="1">
        <v>213863.47</v>
      </c>
    </row>
    <row r="20" spans="1:6" x14ac:dyDescent="0.35">
      <c r="A20">
        <v>200285</v>
      </c>
      <c r="B20">
        <v>30</v>
      </c>
      <c r="C20" s="1">
        <v>79882.31</v>
      </c>
      <c r="D20">
        <v>45</v>
      </c>
      <c r="E20" s="1">
        <v>133568.03</v>
      </c>
      <c r="F20" s="1">
        <v>213450.34</v>
      </c>
    </row>
    <row r="21" spans="1:6" x14ac:dyDescent="0.35">
      <c r="A21">
        <v>200304</v>
      </c>
      <c r="B21">
        <v>45</v>
      </c>
      <c r="C21" s="1">
        <v>139721.66</v>
      </c>
      <c r="D21">
        <v>29</v>
      </c>
      <c r="E21" s="1">
        <v>72052.58</v>
      </c>
      <c r="F21" s="1">
        <v>211774.24</v>
      </c>
    </row>
    <row r="22" spans="1:6" x14ac:dyDescent="0.35">
      <c r="A22">
        <v>201331</v>
      </c>
      <c r="B22">
        <v>38</v>
      </c>
      <c r="C22" s="1">
        <v>106908.18</v>
      </c>
      <c r="D22">
        <v>38</v>
      </c>
      <c r="E22" s="1">
        <v>103450.67</v>
      </c>
      <c r="F22" s="1">
        <v>210358.84999999899</v>
      </c>
    </row>
    <row r="23" spans="1:6" x14ac:dyDescent="0.35">
      <c r="A23">
        <v>200302</v>
      </c>
      <c r="B23">
        <v>45</v>
      </c>
      <c r="C23" s="1">
        <v>115130.1</v>
      </c>
      <c r="D23">
        <v>35</v>
      </c>
      <c r="E23" s="1">
        <v>93937.47</v>
      </c>
      <c r="F23" s="1">
        <v>209067.57</v>
      </c>
    </row>
    <row r="24" spans="1:6" x14ac:dyDescent="0.35">
      <c r="A24">
        <v>201386</v>
      </c>
      <c r="B24">
        <v>38</v>
      </c>
      <c r="C24" s="1">
        <v>105356.63</v>
      </c>
      <c r="D24">
        <v>34</v>
      </c>
      <c r="E24" s="1">
        <v>102582.81</v>
      </c>
      <c r="F24" s="1">
        <v>207939.44</v>
      </c>
    </row>
    <row r="25" spans="1:6" x14ac:dyDescent="0.35">
      <c r="A25">
        <v>200977</v>
      </c>
      <c r="B25">
        <v>29</v>
      </c>
      <c r="C25" s="1">
        <v>90932.1</v>
      </c>
      <c r="D25">
        <v>46</v>
      </c>
      <c r="E25" s="1">
        <v>116891.47</v>
      </c>
      <c r="F25" s="1">
        <v>207823.57</v>
      </c>
    </row>
    <row r="26" spans="1:6" x14ac:dyDescent="0.35">
      <c r="A26">
        <v>200397</v>
      </c>
      <c r="B26">
        <v>45</v>
      </c>
      <c r="C26" s="1">
        <v>122419.9</v>
      </c>
      <c r="D26">
        <v>32</v>
      </c>
      <c r="E26" s="1">
        <v>85091.18</v>
      </c>
      <c r="F26" s="1">
        <v>207511.08</v>
      </c>
    </row>
    <row r="27" spans="1:6" x14ac:dyDescent="0.35">
      <c r="A27">
        <v>200660</v>
      </c>
      <c r="B27">
        <v>37</v>
      </c>
      <c r="C27" s="1">
        <v>96979.12</v>
      </c>
      <c r="D27">
        <v>41</v>
      </c>
      <c r="E27" s="1">
        <v>109687.85</v>
      </c>
      <c r="F27" s="1">
        <v>206666.97</v>
      </c>
    </row>
    <row r="28" spans="1:6" x14ac:dyDescent="0.35">
      <c r="A28">
        <v>201406</v>
      </c>
      <c r="B28">
        <v>46</v>
      </c>
      <c r="C28" s="1">
        <v>114931</v>
      </c>
      <c r="D28">
        <v>38</v>
      </c>
      <c r="E28" s="1">
        <v>91321.62</v>
      </c>
      <c r="F28" s="1">
        <v>206252.62</v>
      </c>
    </row>
    <row r="29" spans="1:6" x14ac:dyDescent="0.35">
      <c r="A29">
        <v>200756</v>
      </c>
      <c r="B29">
        <v>36</v>
      </c>
      <c r="C29" s="1">
        <v>96770.92</v>
      </c>
      <c r="D29">
        <v>37</v>
      </c>
      <c r="E29" s="1">
        <v>107811.45</v>
      </c>
      <c r="F29" s="1">
        <v>204582.37</v>
      </c>
    </row>
    <row r="30" spans="1:6" x14ac:dyDescent="0.35">
      <c r="A30">
        <v>201628</v>
      </c>
      <c r="B30">
        <v>51</v>
      </c>
      <c r="C30" s="1">
        <v>144345.47</v>
      </c>
      <c r="D30">
        <v>23</v>
      </c>
      <c r="E30" s="1">
        <v>60164.91</v>
      </c>
      <c r="F30" s="1">
        <v>204510.38</v>
      </c>
    </row>
    <row r="31" spans="1:6" x14ac:dyDescent="0.35">
      <c r="A31">
        <v>200654</v>
      </c>
      <c r="B31">
        <v>39</v>
      </c>
      <c r="C31" s="1">
        <v>105806.98</v>
      </c>
      <c r="D31">
        <v>35</v>
      </c>
      <c r="E31" s="1">
        <v>98296.74</v>
      </c>
      <c r="F31" s="1">
        <v>204103.72</v>
      </c>
    </row>
    <row r="32" spans="1:6" x14ac:dyDescent="0.35">
      <c r="A32">
        <v>200179</v>
      </c>
      <c r="B32">
        <v>32</v>
      </c>
      <c r="C32" s="1">
        <v>85812.92</v>
      </c>
      <c r="D32">
        <v>44</v>
      </c>
      <c r="E32" s="1">
        <v>118229.44</v>
      </c>
      <c r="F32" s="1">
        <v>204042.36</v>
      </c>
    </row>
    <row r="33" spans="1:6" x14ac:dyDescent="0.35">
      <c r="A33">
        <v>200970</v>
      </c>
      <c r="B33">
        <v>35</v>
      </c>
      <c r="C33" s="1">
        <v>94608.63</v>
      </c>
      <c r="D33">
        <v>37</v>
      </c>
      <c r="E33" s="1">
        <v>109378.66</v>
      </c>
      <c r="F33" s="1">
        <v>203987.29</v>
      </c>
    </row>
    <row r="34" spans="1:6" x14ac:dyDescent="0.35">
      <c r="A34">
        <v>200702</v>
      </c>
      <c r="B34">
        <v>41</v>
      </c>
      <c r="C34" s="1">
        <v>120282.38</v>
      </c>
      <c r="D34">
        <v>28</v>
      </c>
      <c r="E34" s="1">
        <v>83343.02</v>
      </c>
      <c r="F34" s="1">
        <v>203625.4</v>
      </c>
    </row>
    <row r="35" spans="1:6" x14ac:dyDescent="0.35">
      <c r="A35">
        <v>200594</v>
      </c>
      <c r="B35">
        <v>30</v>
      </c>
      <c r="C35" s="1">
        <v>100002.58</v>
      </c>
      <c r="D35">
        <v>36</v>
      </c>
      <c r="E35" s="1">
        <v>103198.44</v>
      </c>
      <c r="F35" s="1">
        <v>203201.02</v>
      </c>
    </row>
    <row r="36" spans="1:6" x14ac:dyDescent="0.35">
      <c r="A36">
        <v>200330</v>
      </c>
      <c r="B36">
        <v>42</v>
      </c>
      <c r="C36" s="1">
        <v>119486.15</v>
      </c>
      <c r="D36">
        <v>37</v>
      </c>
      <c r="E36" s="1">
        <v>83396.12</v>
      </c>
      <c r="F36" s="1">
        <v>202882.27</v>
      </c>
    </row>
    <row r="37" spans="1:6" x14ac:dyDescent="0.35">
      <c r="A37">
        <v>200576</v>
      </c>
      <c r="B37">
        <v>39</v>
      </c>
      <c r="C37" s="1">
        <v>115042.48</v>
      </c>
      <c r="D37">
        <v>36</v>
      </c>
      <c r="E37" s="1">
        <v>87735.039999999994</v>
      </c>
      <c r="F37" s="1">
        <v>202777.52</v>
      </c>
    </row>
    <row r="38" spans="1:6" x14ac:dyDescent="0.35">
      <c r="A38">
        <v>200708</v>
      </c>
      <c r="B38">
        <v>38</v>
      </c>
      <c r="C38" s="1">
        <v>99976.66</v>
      </c>
      <c r="D38">
        <v>39</v>
      </c>
      <c r="E38" s="1">
        <v>102661.51</v>
      </c>
      <c r="F38" s="1">
        <v>202638.16999999899</v>
      </c>
    </row>
    <row r="39" spans="1:6" x14ac:dyDescent="0.35">
      <c r="A39">
        <v>200410</v>
      </c>
      <c r="B39">
        <v>39</v>
      </c>
      <c r="C39" s="1">
        <v>109032.73</v>
      </c>
      <c r="D39">
        <v>35</v>
      </c>
      <c r="E39" s="1">
        <v>93286.09</v>
      </c>
      <c r="F39" s="1">
        <v>202318.82</v>
      </c>
    </row>
    <row r="40" spans="1:6" x14ac:dyDescent="0.35">
      <c r="A40">
        <v>200871</v>
      </c>
      <c r="B40">
        <v>49</v>
      </c>
      <c r="C40" s="1">
        <v>122953.25</v>
      </c>
      <c r="D40">
        <v>29</v>
      </c>
      <c r="E40" s="1">
        <v>78664.5</v>
      </c>
      <c r="F40" s="1">
        <v>201617.75</v>
      </c>
    </row>
    <row r="41" spans="1:6" x14ac:dyDescent="0.35">
      <c r="A41">
        <v>200267</v>
      </c>
      <c r="B41">
        <v>40</v>
      </c>
      <c r="C41" s="1">
        <v>104217.13</v>
      </c>
      <c r="D41">
        <v>38</v>
      </c>
      <c r="E41" s="1">
        <v>96621.47</v>
      </c>
      <c r="F41" s="1">
        <v>200838.6</v>
      </c>
    </row>
    <row r="42" spans="1:6" x14ac:dyDescent="0.35">
      <c r="A42">
        <v>200116</v>
      </c>
      <c r="B42">
        <v>39</v>
      </c>
      <c r="C42" s="1">
        <v>102566.97</v>
      </c>
      <c r="D42">
        <v>39</v>
      </c>
      <c r="E42" s="1">
        <v>97968.84</v>
      </c>
      <c r="F42" s="1">
        <v>200535.81</v>
      </c>
    </row>
    <row r="43" spans="1:6" x14ac:dyDescent="0.35">
      <c r="A43">
        <v>200404</v>
      </c>
      <c r="B43">
        <v>41</v>
      </c>
      <c r="C43" s="1">
        <v>113666.18</v>
      </c>
      <c r="D43">
        <v>31</v>
      </c>
      <c r="E43" s="1">
        <v>86256.72</v>
      </c>
      <c r="F43" s="1">
        <v>199922.9</v>
      </c>
    </row>
    <row r="44" spans="1:6" x14ac:dyDescent="0.35">
      <c r="A44">
        <v>201543</v>
      </c>
      <c r="B44">
        <v>36</v>
      </c>
      <c r="C44" s="1">
        <v>97044.88</v>
      </c>
      <c r="D44">
        <v>36</v>
      </c>
      <c r="E44" s="1">
        <v>102614.34</v>
      </c>
      <c r="F44" s="1">
        <v>199659.22</v>
      </c>
    </row>
    <row r="45" spans="1:6" x14ac:dyDescent="0.35">
      <c r="A45">
        <v>201638</v>
      </c>
      <c r="B45">
        <v>44</v>
      </c>
      <c r="C45" s="1">
        <v>115248</v>
      </c>
      <c r="D45">
        <v>26</v>
      </c>
      <c r="E45" s="1">
        <v>83632.210000000006</v>
      </c>
      <c r="F45" s="1">
        <v>198880.21</v>
      </c>
    </row>
    <row r="46" spans="1:6" x14ac:dyDescent="0.35">
      <c r="A46">
        <v>201508</v>
      </c>
      <c r="B46">
        <v>38</v>
      </c>
      <c r="C46" s="1">
        <v>95008.3</v>
      </c>
      <c r="D46">
        <v>39</v>
      </c>
      <c r="E46" s="1">
        <v>102686.35</v>
      </c>
      <c r="F46" s="1">
        <v>197694.65</v>
      </c>
    </row>
    <row r="47" spans="1:6" x14ac:dyDescent="0.35">
      <c r="A47">
        <v>201097</v>
      </c>
      <c r="B47">
        <v>36</v>
      </c>
      <c r="C47" s="1">
        <v>90159.93</v>
      </c>
      <c r="D47">
        <v>41</v>
      </c>
      <c r="E47" s="1">
        <v>107376.85</v>
      </c>
      <c r="F47" s="1">
        <v>197536.78</v>
      </c>
    </row>
    <row r="48" spans="1:6" x14ac:dyDescent="0.35">
      <c r="A48">
        <v>200771</v>
      </c>
      <c r="B48">
        <v>35</v>
      </c>
      <c r="C48" s="1">
        <v>94142.87</v>
      </c>
      <c r="D48">
        <v>39</v>
      </c>
      <c r="E48" s="1">
        <v>103362.08</v>
      </c>
      <c r="F48" s="1">
        <v>197504.95</v>
      </c>
    </row>
    <row r="49" spans="1:6" x14ac:dyDescent="0.35">
      <c r="A49">
        <v>201434</v>
      </c>
      <c r="B49">
        <v>39</v>
      </c>
      <c r="C49" s="1">
        <v>125505.77</v>
      </c>
      <c r="D49">
        <v>29</v>
      </c>
      <c r="E49" s="1">
        <v>71943.3</v>
      </c>
      <c r="F49" s="1">
        <v>197449.07</v>
      </c>
    </row>
    <row r="50" spans="1:6" x14ac:dyDescent="0.35">
      <c r="A50">
        <v>200689</v>
      </c>
      <c r="B50">
        <v>33</v>
      </c>
      <c r="C50" s="1">
        <v>91022.63</v>
      </c>
      <c r="D50">
        <v>41</v>
      </c>
      <c r="E50" s="1">
        <v>106307.55</v>
      </c>
      <c r="F50" s="1">
        <v>197330.18</v>
      </c>
    </row>
    <row r="51" spans="1:6" x14ac:dyDescent="0.35">
      <c r="A51">
        <v>200988</v>
      </c>
      <c r="B51">
        <v>32</v>
      </c>
      <c r="C51" s="1">
        <v>78893.02</v>
      </c>
      <c r="D51">
        <v>48</v>
      </c>
      <c r="E51" s="1">
        <v>118121.12</v>
      </c>
      <c r="F51" s="1">
        <v>197014.14</v>
      </c>
    </row>
    <row r="52" spans="1:6" x14ac:dyDescent="0.35">
      <c r="A52">
        <v>201004</v>
      </c>
      <c r="B52">
        <v>39</v>
      </c>
      <c r="C52" s="1">
        <v>121142.59</v>
      </c>
      <c r="D52">
        <v>26</v>
      </c>
      <c r="E52" s="1">
        <v>75851.839999999997</v>
      </c>
      <c r="F52" s="1">
        <v>196994.43</v>
      </c>
    </row>
    <row r="53" spans="1:6" x14ac:dyDescent="0.35">
      <c r="A53">
        <v>200557</v>
      </c>
      <c r="B53">
        <v>36</v>
      </c>
      <c r="C53" s="1">
        <v>88781.18</v>
      </c>
      <c r="D53">
        <v>38</v>
      </c>
      <c r="E53" s="1">
        <v>107992.38</v>
      </c>
      <c r="F53" s="1">
        <v>196773.56</v>
      </c>
    </row>
    <row r="54" spans="1:6" x14ac:dyDescent="0.35">
      <c r="A54">
        <v>201283</v>
      </c>
      <c r="B54">
        <v>32</v>
      </c>
      <c r="C54" s="1">
        <v>99923.73</v>
      </c>
      <c r="D54">
        <v>37</v>
      </c>
      <c r="E54" s="1">
        <v>96669.48</v>
      </c>
      <c r="F54" s="1">
        <v>196593.21</v>
      </c>
    </row>
    <row r="55" spans="1:6" x14ac:dyDescent="0.35">
      <c r="A55">
        <v>200873</v>
      </c>
      <c r="B55">
        <v>36</v>
      </c>
      <c r="C55" s="1">
        <v>97963.25</v>
      </c>
      <c r="D55">
        <v>36</v>
      </c>
      <c r="E55" s="1">
        <v>98490.62</v>
      </c>
      <c r="F55" s="1">
        <v>196453.87</v>
      </c>
    </row>
    <row r="56" spans="1:6" x14ac:dyDescent="0.35">
      <c r="A56">
        <v>200381</v>
      </c>
      <c r="B56">
        <v>35</v>
      </c>
      <c r="C56" s="1">
        <v>94442.6</v>
      </c>
      <c r="D56">
        <v>42</v>
      </c>
      <c r="E56" s="1">
        <v>101866.43</v>
      </c>
      <c r="F56" s="1">
        <v>196309.03</v>
      </c>
    </row>
    <row r="57" spans="1:6" x14ac:dyDescent="0.35">
      <c r="A57">
        <v>200680</v>
      </c>
      <c r="B57">
        <v>34</v>
      </c>
      <c r="C57" s="1">
        <v>87490.03</v>
      </c>
      <c r="D57">
        <v>39</v>
      </c>
      <c r="E57" s="1">
        <v>108143.44</v>
      </c>
      <c r="F57" s="1">
        <v>195633.47</v>
      </c>
    </row>
    <row r="58" spans="1:6" x14ac:dyDescent="0.35">
      <c r="A58">
        <v>200235</v>
      </c>
      <c r="B58">
        <v>38</v>
      </c>
      <c r="C58" s="1">
        <v>106632.82</v>
      </c>
      <c r="D58">
        <v>37</v>
      </c>
      <c r="E58" s="1">
        <v>88954</v>
      </c>
      <c r="F58" s="1">
        <v>195586.82</v>
      </c>
    </row>
    <row r="59" spans="1:6" x14ac:dyDescent="0.35">
      <c r="A59">
        <v>200540</v>
      </c>
      <c r="B59">
        <v>35</v>
      </c>
      <c r="C59" s="1">
        <v>100224.89</v>
      </c>
      <c r="D59">
        <v>39</v>
      </c>
      <c r="E59" s="1">
        <v>95172.63</v>
      </c>
      <c r="F59" s="1">
        <v>195397.52</v>
      </c>
    </row>
    <row r="60" spans="1:6" x14ac:dyDescent="0.35">
      <c r="A60">
        <v>200386</v>
      </c>
      <c r="B60">
        <v>39</v>
      </c>
      <c r="C60" s="1">
        <v>101441.82</v>
      </c>
      <c r="D60">
        <v>39</v>
      </c>
      <c r="E60" s="1">
        <v>93862.32</v>
      </c>
      <c r="F60" s="1">
        <v>195304.14</v>
      </c>
    </row>
    <row r="61" spans="1:6" x14ac:dyDescent="0.35">
      <c r="A61">
        <v>200387</v>
      </c>
      <c r="B61">
        <v>44</v>
      </c>
      <c r="C61" s="1">
        <v>115802.17</v>
      </c>
      <c r="D61">
        <v>28</v>
      </c>
      <c r="E61" s="1">
        <v>79413.460000000006</v>
      </c>
      <c r="F61" s="1">
        <v>195215.63</v>
      </c>
    </row>
    <row r="62" spans="1:6" x14ac:dyDescent="0.35">
      <c r="A62">
        <v>200080</v>
      </c>
      <c r="B62">
        <v>34</v>
      </c>
      <c r="C62" s="1">
        <v>88889.46</v>
      </c>
      <c r="D62">
        <v>40</v>
      </c>
      <c r="E62" s="1">
        <v>106320.71</v>
      </c>
      <c r="F62" s="1">
        <v>195210.17</v>
      </c>
    </row>
    <row r="63" spans="1:6" x14ac:dyDescent="0.35">
      <c r="A63">
        <v>200645</v>
      </c>
      <c r="B63">
        <v>34</v>
      </c>
      <c r="C63" s="1">
        <v>84201.36</v>
      </c>
      <c r="D63">
        <v>42</v>
      </c>
      <c r="E63" s="1">
        <v>110964.31</v>
      </c>
      <c r="F63" s="1">
        <v>195165.66999999899</v>
      </c>
    </row>
    <row r="64" spans="1:6" x14ac:dyDescent="0.35">
      <c r="A64">
        <v>200775</v>
      </c>
      <c r="B64">
        <v>41</v>
      </c>
      <c r="C64" s="1">
        <v>89795.57</v>
      </c>
      <c r="D64">
        <v>40</v>
      </c>
      <c r="E64" s="1">
        <v>105231.02</v>
      </c>
      <c r="F64" s="1">
        <v>195026.59</v>
      </c>
    </row>
    <row r="65" spans="1:6" x14ac:dyDescent="0.35">
      <c r="A65">
        <v>201265</v>
      </c>
      <c r="B65">
        <v>36</v>
      </c>
      <c r="C65" s="1">
        <v>95612.69</v>
      </c>
      <c r="D65">
        <v>38</v>
      </c>
      <c r="E65" s="1">
        <v>99035.44</v>
      </c>
      <c r="F65" s="1">
        <v>194648.13</v>
      </c>
    </row>
    <row r="66" spans="1:6" x14ac:dyDescent="0.35">
      <c r="A66">
        <v>200664</v>
      </c>
      <c r="B66">
        <v>44</v>
      </c>
      <c r="C66" s="1">
        <v>113956.6</v>
      </c>
      <c r="D66">
        <v>33</v>
      </c>
      <c r="E66" s="1">
        <v>80053.240000000005</v>
      </c>
      <c r="F66" s="1">
        <v>194009.84</v>
      </c>
    </row>
    <row r="67" spans="1:6" x14ac:dyDescent="0.35">
      <c r="A67">
        <v>201057</v>
      </c>
      <c r="B67">
        <v>35</v>
      </c>
      <c r="C67" s="1">
        <v>108486.31</v>
      </c>
      <c r="D67">
        <v>36</v>
      </c>
      <c r="E67" s="1">
        <v>85056.26</v>
      </c>
      <c r="F67" s="1">
        <v>193542.57</v>
      </c>
    </row>
    <row r="68" spans="1:6" x14ac:dyDescent="0.35">
      <c r="A68">
        <v>200603</v>
      </c>
      <c r="B68">
        <v>33</v>
      </c>
      <c r="C68" s="1">
        <v>87404.31</v>
      </c>
      <c r="D68">
        <v>40</v>
      </c>
      <c r="E68" s="1">
        <v>106004</v>
      </c>
      <c r="F68" s="1">
        <v>193408.31</v>
      </c>
    </row>
    <row r="69" spans="1:6" x14ac:dyDescent="0.35">
      <c r="A69">
        <v>201048</v>
      </c>
      <c r="B69">
        <v>45</v>
      </c>
      <c r="C69" s="1">
        <v>130884.67</v>
      </c>
      <c r="D69">
        <v>28</v>
      </c>
      <c r="E69" s="1">
        <v>62123.95</v>
      </c>
      <c r="F69" s="1">
        <v>193008.62</v>
      </c>
    </row>
    <row r="70" spans="1:6" x14ac:dyDescent="0.35">
      <c r="A70">
        <v>201034</v>
      </c>
      <c r="B70">
        <v>38</v>
      </c>
      <c r="C70" s="1">
        <v>110917.97</v>
      </c>
      <c r="D70">
        <v>30</v>
      </c>
      <c r="E70" s="1">
        <v>81855.289999999994</v>
      </c>
      <c r="F70" s="1">
        <v>192773.26</v>
      </c>
    </row>
    <row r="71" spans="1:6" x14ac:dyDescent="0.35">
      <c r="A71">
        <v>200609</v>
      </c>
      <c r="B71">
        <v>42</v>
      </c>
      <c r="C71" s="1">
        <v>99443.98</v>
      </c>
      <c r="D71">
        <v>40</v>
      </c>
      <c r="E71" s="1">
        <v>93293.81</v>
      </c>
      <c r="F71" s="1">
        <v>192737.78999999899</v>
      </c>
    </row>
    <row r="72" spans="1:6" x14ac:dyDescent="0.35">
      <c r="A72">
        <v>201317</v>
      </c>
      <c r="B72">
        <v>39</v>
      </c>
      <c r="C72" s="1">
        <v>94234</v>
      </c>
      <c r="D72">
        <v>34</v>
      </c>
      <c r="E72" s="1">
        <v>98393.23</v>
      </c>
      <c r="F72" s="1">
        <v>192627.22999999899</v>
      </c>
    </row>
    <row r="73" spans="1:6" x14ac:dyDescent="0.35">
      <c r="A73">
        <v>201514</v>
      </c>
      <c r="B73">
        <v>39</v>
      </c>
      <c r="C73" s="1">
        <v>87805.57</v>
      </c>
      <c r="D73">
        <v>36</v>
      </c>
      <c r="E73" s="1">
        <v>104312.34</v>
      </c>
      <c r="F73" s="1">
        <v>192117.91</v>
      </c>
    </row>
    <row r="74" spans="1:6" x14ac:dyDescent="0.35">
      <c r="A74">
        <v>200830</v>
      </c>
      <c r="B74">
        <v>39</v>
      </c>
      <c r="C74" s="1">
        <v>101112.53</v>
      </c>
      <c r="D74">
        <v>35</v>
      </c>
      <c r="E74" s="1">
        <v>90973.43</v>
      </c>
      <c r="F74" s="1">
        <v>192085.96</v>
      </c>
    </row>
    <row r="75" spans="1:6" x14ac:dyDescent="0.35">
      <c r="A75">
        <v>201363</v>
      </c>
      <c r="B75">
        <v>37</v>
      </c>
      <c r="C75" s="1">
        <v>100509.11</v>
      </c>
      <c r="D75">
        <v>31</v>
      </c>
      <c r="E75" s="1">
        <v>91499.18</v>
      </c>
      <c r="F75" s="1">
        <v>192008.28999999899</v>
      </c>
    </row>
    <row r="76" spans="1:6" x14ac:dyDescent="0.35">
      <c r="A76">
        <v>201362</v>
      </c>
      <c r="B76">
        <v>40</v>
      </c>
      <c r="C76" s="1">
        <v>104168.56</v>
      </c>
      <c r="D76">
        <v>33</v>
      </c>
      <c r="E76" s="1">
        <v>87751.53</v>
      </c>
      <c r="F76" s="1">
        <v>191920.09</v>
      </c>
    </row>
    <row r="77" spans="1:6" x14ac:dyDescent="0.35">
      <c r="A77">
        <v>200114</v>
      </c>
      <c r="B77">
        <v>47</v>
      </c>
      <c r="C77" s="1">
        <v>128916.19</v>
      </c>
      <c r="D77">
        <v>29</v>
      </c>
      <c r="E77" s="1">
        <v>62874.25</v>
      </c>
      <c r="F77" s="1">
        <v>191790.44</v>
      </c>
    </row>
    <row r="78" spans="1:6" x14ac:dyDescent="0.35">
      <c r="A78">
        <v>200984</v>
      </c>
      <c r="B78">
        <v>43</v>
      </c>
      <c r="C78" s="1">
        <v>116109.31</v>
      </c>
      <c r="D78">
        <v>29</v>
      </c>
      <c r="E78" s="1">
        <v>75504.77</v>
      </c>
      <c r="F78" s="1">
        <v>191614.07999999999</v>
      </c>
    </row>
    <row r="79" spans="1:6" x14ac:dyDescent="0.35">
      <c r="A79">
        <v>201300</v>
      </c>
      <c r="B79">
        <v>38</v>
      </c>
      <c r="C79" s="1">
        <v>87899.58</v>
      </c>
      <c r="D79">
        <v>36</v>
      </c>
      <c r="E79" s="1">
        <v>103321.14</v>
      </c>
      <c r="F79" s="1">
        <v>191220.72</v>
      </c>
    </row>
    <row r="80" spans="1:6" x14ac:dyDescent="0.35">
      <c r="A80">
        <v>200358</v>
      </c>
      <c r="B80">
        <v>38</v>
      </c>
      <c r="C80" s="1">
        <v>93517.86</v>
      </c>
      <c r="D80">
        <v>38</v>
      </c>
      <c r="E80" s="1">
        <v>97595.73</v>
      </c>
      <c r="F80" s="1">
        <v>191113.59</v>
      </c>
    </row>
    <row r="81" spans="1:6" x14ac:dyDescent="0.35">
      <c r="A81">
        <v>200800</v>
      </c>
      <c r="B81">
        <v>30</v>
      </c>
      <c r="C81" s="1">
        <v>84018.46</v>
      </c>
      <c r="D81">
        <v>39</v>
      </c>
      <c r="E81" s="1">
        <v>106891.91</v>
      </c>
      <c r="F81" s="1">
        <v>190910.37</v>
      </c>
    </row>
    <row r="82" spans="1:6" x14ac:dyDescent="0.35">
      <c r="A82">
        <v>200991</v>
      </c>
      <c r="B82">
        <v>35</v>
      </c>
      <c r="C82" s="1">
        <v>90923.04</v>
      </c>
      <c r="D82">
        <v>35</v>
      </c>
      <c r="E82" s="1">
        <v>99323.75</v>
      </c>
      <c r="F82" s="1">
        <v>190246.78999999899</v>
      </c>
    </row>
    <row r="83" spans="1:6" x14ac:dyDescent="0.35">
      <c r="A83">
        <v>200917</v>
      </c>
      <c r="B83">
        <v>29</v>
      </c>
      <c r="C83" s="1">
        <v>84621.11</v>
      </c>
      <c r="D83">
        <v>36</v>
      </c>
      <c r="E83" s="1">
        <v>105438.53</v>
      </c>
      <c r="F83" s="1">
        <v>190059.64</v>
      </c>
    </row>
    <row r="84" spans="1:6" x14ac:dyDescent="0.35">
      <c r="A84">
        <v>201452</v>
      </c>
      <c r="B84">
        <v>46</v>
      </c>
      <c r="C84" s="1">
        <v>123762.81</v>
      </c>
      <c r="D84">
        <v>28</v>
      </c>
      <c r="E84" s="1">
        <v>66260.009999999995</v>
      </c>
      <c r="F84" s="1">
        <v>190022.82</v>
      </c>
    </row>
    <row r="85" spans="1:6" x14ac:dyDescent="0.35">
      <c r="A85">
        <v>200514</v>
      </c>
      <c r="B85">
        <v>43</v>
      </c>
      <c r="C85" s="1">
        <v>120528.12</v>
      </c>
      <c r="D85">
        <v>31</v>
      </c>
      <c r="E85" s="1">
        <v>69467.710000000006</v>
      </c>
      <c r="F85" s="1">
        <v>189995.83</v>
      </c>
    </row>
    <row r="86" spans="1:6" x14ac:dyDescent="0.35">
      <c r="A86">
        <v>200265</v>
      </c>
      <c r="B86">
        <v>34</v>
      </c>
      <c r="C86" s="1">
        <v>86407.71</v>
      </c>
      <c r="D86">
        <v>39</v>
      </c>
      <c r="E86" s="1">
        <v>103331.63</v>
      </c>
      <c r="F86" s="1">
        <v>189739.34</v>
      </c>
    </row>
    <row r="87" spans="1:6" x14ac:dyDescent="0.35">
      <c r="A87">
        <v>201139</v>
      </c>
      <c r="B87">
        <v>41</v>
      </c>
      <c r="C87" s="1">
        <v>99504.75</v>
      </c>
      <c r="D87">
        <v>33</v>
      </c>
      <c r="E87" s="1">
        <v>90064.57</v>
      </c>
      <c r="F87" s="1">
        <v>189569.32</v>
      </c>
    </row>
    <row r="88" spans="1:6" x14ac:dyDescent="0.35">
      <c r="A88">
        <v>200785</v>
      </c>
      <c r="B88">
        <v>33</v>
      </c>
      <c r="C88" s="1">
        <v>98457.59</v>
      </c>
      <c r="D88">
        <v>33</v>
      </c>
      <c r="E88" s="1">
        <v>90926.94</v>
      </c>
      <c r="F88" s="1">
        <v>189384.53</v>
      </c>
    </row>
    <row r="89" spans="1:6" x14ac:dyDescent="0.35">
      <c r="A89">
        <v>201419</v>
      </c>
      <c r="B89">
        <v>36</v>
      </c>
      <c r="C89" s="1">
        <v>102612.19</v>
      </c>
      <c r="D89">
        <v>34</v>
      </c>
      <c r="E89" s="1">
        <v>86500.44</v>
      </c>
      <c r="F89" s="1">
        <v>189112.63</v>
      </c>
    </row>
    <row r="90" spans="1:6" x14ac:dyDescent="0.35">
      <c r="A90">
        <v>201388</v>
      </c>
      <c r="B90">
        <v>35</v>
      </c>
      <c r="C90" s="1">
        <v>103589.41</v>
      </c>
      <c r="D90">
        <v>30</v>
      </c>
      <c r="E90" s="1">
        <v>85510.34</v>
      </c>
      <c r="F90" s="1">
        <v>189099.75</v>
      </c>
    </row>
    <row r="91" spans="1:6" x14ac:dyDescent="0.35">
      <c r="A91">
        <v>201080</v>
      </c>
      <c r="B91">
        <v>34</v>
      </c>
      <c r="C91" s="1">
        <v>98713.46</v>
      </c>
      <c r="D91">
        <v>28</v>
      </c>
      <c r="E91" s="1">
        <v>90364.66</v>
      </c>
      <c r="F91" s="1">
        <v>189078.12</v>
      </c>
    </row>
    <row r="92" spans="1:6" x14ac:dyDescent="0.35">
      <c r="A92">
        <v>200102</v>
      </c>
      <c r="B92">
        <v>35</v>
      </c>
      <c r="C92" s="1">
        <v>90876.87</v>
      </c>
      <c r="D92">
        <v>34</v>
      </c>
      <c r="E92" s="1">
        <v>97851.33</v>
      </c>
      <c r="F92" s="1">
        <v>188728.2</v>
      </c>
    </row>
    <row r="93" spans="1:6" x14ac:dyDescent="0.35">
      <c r="A93">
        <v>200920</v>
      </c>
      <c r="B93">
        <v>35</v>
      </c>
      <c r="C93" s="1">
        <v>97949.5</v>
      </c>
      <c r="D93">
        <v>32</v>
      </c>
      <c r="E93" s="1">
        <v>90718.14</v>
      </c>
      <c r="F93" s="1">
        <v>188667.64</v>
      </c>
    </row>
    <row r="94" spans="1:6" x14ac:dyDescent="0.35">
      <c r="A94">
        <v>200008</v>
      </c>
      <c r="B94">
        <v>35</v>
      </c>
      <c r="C94" s="1">
        <v>83428.53</v>
      </c>
      <c r="D94">
        <v>38</v>
      </c>
      <c r="E94" s="1">
        <v>105212.88</v>
      </c>
      <c r="F94" s="1">
        <v>188641.41</v>
      </c>
    </row>
    <row r="95" spans="1:6" x14ac:dyDescent="0.35">
      <c r="A95">
        <v>200591</v>
      </c>
      <c r="B95">
        <v>39</v>
      </c>
      <c r="C95" s="1">
        <v>94736.46</v>
      </c>
      <c r="D95">
        <v>38</v>
      </c>
      <c r="E95" s="1">
        <v>93809.97</v>
      </c>
      <c r="F95" s="1">
        <v>188546.43</v>
      </c>
    </row>
    <row r="96" spans="1:6" x14ac:dyDescent="0.35">
      <c r="A96">
        <v>200321</v>
      </c>
      <c r="B96">
        <v>34</v>
      </c>
      <c r="C96" s="1">
        <v>82735.95</v>
      </c>
      <c r="D96">
        <v>35</v>
      </c>
      <c r="E96" s="1">
        <v>105634.06</v>
      </c>
      <c r="F96" s="1">
        <v>188370.01</v>
      </c>
    </row>
    <row r="97" spans="1:6" x14ac:dyDescent="0.35">
      <c r="A97">
        <v>200617</v>
      </c>
      <c r="B97">
        <v>35</v>
      </c>
      <c r="C97" s="1">
        <v>89636.12</v>
      </c>
      <c r="D97">
        <v>33</v>
      </c>
      <c r="E97" s="1">
        <v>98277.52</v>
      </c>
      <c r="F97" s="1">
        <v>187913.64</v>
      </c>
    </row>
    <row r="98" spans="1:6" x14ac:dyDescent="0.35">
      <c r="A98">
        <v>201497</v>
      </c>
      <c r="B98">
        <v>35</v>
      </c>
      <c r="C98" s="1">
        <v>100964.1</v>
      </c>
      <c r="D98">
        <v>34</v>
      </c>
      <c r="E98" s="1">
        <v>86857.4</v>
      </c>
      <c r="F98" s="1">
        <v>187821.5</v>
      </c>
    </row>
    <row r="99" spans="1:6" x14ac:dyDescent="0.35">
      <c r="A99">
        <v>200435</v>
      </c>
      <c r="B99">
        <v>38</v>
      </c>
      <c r="C99" s="1">
        <v>89786.71</v>
      </c>
      <c r="D99">
        <v>34</v>
      </c>
      <c r="E99" s="1">
        <v>97780.46</v>
      </c>
      <c r="F99" s="1">
        <v>187567.17</v>
      </c>
    </row>
    <row r="100" spans="1:6" x14ac:dyDescent="0.35">
      <c r="A100">
        <v>200317</v>
      </c>
      <c r="B100">
        <v>38</v>
      </c>
      <c r="C100" s="1">
        <v>105159.31</v>
      </c>
      <c r="D100">
        <v>30</v>
      </c>
      <c r="E100" s="1">
        <v>82296.350000000006</v>
      </c>
      <c r="F100" s="1">
        <v>187455.66</v>
      </c>
    </row>
    <row r="101" spans="1:6" x14ac:dyDescent="0.35">
      <c r="A101">
        <v>201206</v>
      </c>
      <c r="B101">
        <v>41</v>
      </c>
      <c r="C101" s="1">
        <v>112366.9</v>
      </c>
      <c r="D101">
        <v>33</v>
      </c>
      <c r="E101" s="1">
        <v>75047.740000000005</v>
      </c>
      <c r="F101" s="1">
        <v>187414.64</v>
      </c>
    </row>
    <row r="102" spans="1:6" x14ac:dyDescent="0.35">
      <c r="A102">
        <v>200875</v>
      </c>
      <c r="B102">
        <v>37</v>
      </c>
      <c r="C102" s="1">
        <v>102688.11</v>
      </c>
      <c r="D102">
        <v>37</v>
      </c>
      <c r="E102" s="1">
        <v>84385.06</v>
      </c>
      <c r="F102" s="1">
        <v>187073.16999999899</v>
      </c>
    </row>
    <row r="103" spans="1:6" x14ac:dyDescent="0.35">
      <c r="A103">
        <v>201185</v>
      </c>
      <c r="B103">
        <v>36</v>
      </c>
      <c r="C103" s="1">
        <v>110274.93</v>
      </c>
      <c r="D103">
        <v>30</v>
      </c>
      <c r="E103" s="1">
        <v>76752.649999999994</v>
      </c>
      <c r="F103" s="1">
        <v>187027.58</v>
      </c>
    </row>
    <row r="104" spans="1:6" x14ac:dyDescent="0.35">
      <c r="A104">
        <v>200870</v>
      </c>
      <c r="B104">
        <v>45</v>
      </c>
      <c r="C104" s="1">
        <v>106133.17</v>
      </c>
      <c r="D104">
        <v>32</v>
      </c>
      <c r="E104" s="1">
        <v>80623.399999999994</v>
      </c>
      <c r="F104" s="1">
        <v>186756.57</v>
      </c>
    </row>
    <row r="105" spans="1:6" x14ac:dyDescent="0.35">
      <c r="A105">
        <v>200204</v>
      </c>
      <c r="B105">
        <v>36</v>
      </c>
      <c r="C105" s="1">
        <v>86452.84</v>
      </c>
      <c r="D105">
        <v>40</v>
      </c>
      <c r="E105" s="1">
        <v>100208.57</v>
      </c>
      <c r="F105" s="1">
        <v>186661.41</v>
      </c>
    </row>
    <row r="106" spans="1:6" x14ac:dyDescent="0.35">
      <c r="A106">
        <v>201498</v>
      </c>
      <c r="B106">
        <v>33</v>
      </c>
      <c r="C106" s="1">
        <v>96896.69</v>
      </c>
      <c r="D106">
        <v>31</v>
      </c>
      <c r="E106" s="1">
        <v>89185.85</v>
      </c>
      <c r="F106" s="1">
        <v>186082.54</v>
      </c>
    </row>
    <row r="107" spans="1:6" x14ac:dyDescent="0.35">
      <c r="A107">
        <v>201643</v>
      </c>
      <c r="B107">
        <v>30</v>
      </c>
      <c r="C107" s="1">
        <v>83676.53</v>
      </c>
      <c r="D107">
        <v>34</v>
      </c>
      <c r="E107" s="1">
        <v>102165.78</v>
      </c>
      <c r="F107" s="1">
        <v>185842.31</v>
      </c>
    </row>
    <row r="108" spans="1:6" x14ac:dyDescent="0.35">
      <c r="A108">
        <v>201305</v>
      </c>
      <c r="B108">
        <v>33</v>
      </c>
      <c r="C108" s="1">
        <v>89556.4</v>
      </c>
      <c r="D108">
        <v>35</v>
      </c>
      <c r="E108" s="1">
        <v>96197.67</v>
      </c>
      <c r="F108" s="1">
        <v>185754.07</v>
      </c>
    </row>
    <row r="109" spans="1:6" x14ac:dyDescent="0.35">
      <c r="A109">
        <v>200729</v>
      </c>
      <c r="B109">
        <v>37</v>
      </c>
      <c r="C109" s="1">
        <v>100844.05</v>
      </c>
      <c r="D109">
        <v>29</v>
      </c>
      <c r="E109" s="1">
        <v>84634.82</v>
      </c>
      <c r="F109" s="1">
        <v>185478.87</v>
      </c>
    </row>
    <row r="110" spans="1:6" x14ac:dyDescent="0.35">
      <c r="A110">
        <v>200487</v>
      </c>
      <c r="B110">
        <v>30</v>
      </c>
      <c r="C110" s="1">
        <v>77242.429999999993</v>
      </c>
      <c r="D110">
        <v>41</v>
      </c>
      <c r="E110" s="1">
        <v>108066.61</v>
      </c>
      <c r="F110" s="1">
        <v>185309.03999999899</v>
      </c>
    </row>
    <row r="111" spans="1:6" x14ac:dyDescent="0.35">
      <c r="A111">
        <v>200289</v>
      </c>
      <c r="B111">
        <v>39</v>
      </c>
      <c r="C111" s="1">
        <v>101978.86</v>
      </c>
      <c r="D111">
        <v>30</v>
      </c>
      <c r="E111" s="1">
        <v>83305.66</v>
      </c>
      <c r="F111" s="1">
        <v>185284.52</v>
      </c>
    </row>
    <row r="112" spans="1:6" x14ac:dyDescent="0.35">
      <c r="A112">
        <v>201633</v>
      </c>
      <c r="B112">
        <v>37</v>
      </c>
      <c r="C112" s="1">
        <v>92448.62</v>
      </c>
      <c r="D112">
        <v>33</v>
      </c>
      <c r="E112" s="1">
        <v>92643.33</v>
      </c>
      <c r="F112" s="1">
        <v>185091.95</v>
      </c>
    </row>
    <row r="113" spans="1:6" x14ac:dyDescent="0.35">
      <c r="A113">
        <v>200568</v>
      </c>
      <c r="B113">
        <v>25</v>
      </c>
      <c r="C113" s="1">
        <v>66733.789999999994</v>
      </c>
      <c r="D113">
        <v>44</v>
      </c>
      <c r="E113" s="1">
        <v>118331.25</v>
      </c>
      <c r="F113" s="1">
        <v>185065.03999999899</v>
      </c>
    </row>
    <row r="114" spans="1:6" x14ac:dyDescent="0.35">
      <c r="A114">
        <v>200857</v>
      </c>
      <c r="B114">
        <v>35</v>
      </c>
      <c r="C114" s="1">
        <v>95408.61</v>
      </c>
      <c r="D114">
        <v>32</v>
      </c>
      <c r="E114" s="1">
        <v>89446.54</v>
      </c>
      <c r="F114" s="1">
        <v>184855.15</v>
      </c>
    </row>
    <row r="115" spans="1:6" x14ac:dyDescent="0.35">
      <c r="A115">
        <v>201475</v>
      </c>
      <c r="B115">
        <v>31</v>
      </c>
      <c r="C115" s="1">
        <v>75968.649999999994</v>
      </c>
      <c r="D115">
        <v>40</v>
      </c>
      <c r="E115" s="1">
        <v>108835.93</v>
      </c>
      <c r="F115" s="1">
        <v>184804.58</v>
      </c>
    </row>
    <row r="116" spans="1:6" x14ac:dyDescent="0.35">
      <c r="A116">
        <v>200688</v>
      </c>
      <c r="B116">
        <v>38</v>
      </c>
      <c r="C116" s="1">
        <v>99284.46</v>
      </c>
      <c r="D116">
        <v>33</v>
      </c>
      <c r="E116" s="1">
        <v>85491.5</v>
      </c>
      <c r="F116" s="1">
        <v>184775.96</v>
      </c>
    </row>
    <row r="117" spans="1:6" x14ac:dyDescent="0.35">
      <c r="A117">
        <v>200751</v>
      </c>
      <c r="B117">
        <v>28</v>
      </c>
      <c r="C117" s="1">
        <v>87669.39</v>
      </c>
      <c r="D117">
        <v>34</v>
      </c>
      <c r="E117" s="1">
        <v>97077.28</v>
      </c>
      <c r="F117" s="1">
        <v>184746.66999999899</v>
      </c>
    </row>
    <row r="118" spans="1:6" x14ac:dyDescent="0.35">
      <c r="A118">
        <v>200345</v>
      </c>
      <c r="B118">
        <v>34</v>
      </c>
      <c r="C118" s="1">
        <v>93334.75</v>
      </c>
      <c r="D118">
        <v>32</v>
      </c>
      <c r="E118" s="1">
        <v>91067.56</v>
      </c>
      <c r="F118" s="1">
        <v>184402.31</v>
      </c>
    </row>
    <row r="119" spans="1:6" x14ac:dyDescent="0.35">
      <c r="A119">
        <v>200827</v>
      </c>
      <c r="B119">
        <v>28</v>
      </c>
      <c r="C119" s="1">
        <v>70494.460000000006</v>
      </c>
      <c r="D119">
        <v>42</v>
      </c>
      <c r="E119" s="1">
        <v>113874.19</v>
      </c>
      <c r="F119" s="1">
        <v>184368.65</v>
      </c>
    </row>
    <row r="120" spans="1:6" x14ac:dyDescent="0.35">
      <c r="A120">
        <v>200539</v>
      </c>
      <c r="B120">
        <v>36</v>
      </c>
      <c r="C120" s="1">
        <v>89459.61</v>
      </c>
      <c r="D120">
        <v>32</v>
      </c>
      <c r="E120" s="1">
        <v>94857.65</v>
      </c>
      <c r="F120" s="1">
        <v>184317.26</v>
      </c>
    </row>
    <row r="121" spans="1:6" x14ac:dyDescent="0.35">
      <c r="A121">
        <v>200590</v>
      </c>
      <c r="B121">
        <v>38</v>
      </c>
      <c r="C121" s="1">
        <v>113109.44</v>
      </c>
      <c r="D121">
        <v>32</v>
      </c>
      <c r="E121" s="1">
        <v>71138.28</v>
      </c>
      <c r="F121" s="1">
        <v>184247.72</v>
      </c>
    </row>
    <row r="122" spans="1:6" x14ac:dyDescent="0.35">
      <c r="A122">
        <v>200492</v>
      </c>
      <c r="B122">
        <v>35</v>
      </c>
      <c r="C122" s="1">
        <v>98347.58</v>
      </c>
      <c r="D122">
        <v>38</v>
      </c>
      <c r="E122" s="1">
        <v>85872.28</v>
      </c>
      <c r="F122" s="1">
        <v>184219.86</v>
      </c>
    </row>
    <row r="123" spans="1:6" x14ac:dyDescent="0.35">
      <c r="A123">
        <v>200491</v>
      </c>
      <c r="B123">
        <v>36</v>
      </c>
      <c r="C123" s="1">
        <v>94652.44</v>
      </c>
      <c r="D123">
        <v>38</v>
      </c>
      <c r="E123" s="1">
        <v>89450.03</v>
      </c>
      <c r="F123" s="1">
        <v>184102.47</v>
      </c>
    </row>
    <row r="124" spans="1:6" x14ac:dyDescent="0.35">
      <c r="A124">
        <v>200722</v>
      </c>
      <c r="B124">
        <v>36</v>
      </c>
      <c r="C124" s="1">
        <v>82419.429999999993</v>
      </c>
      <c r="D124">
        <v>33</v>
      </c>
      <c r="E124" s="1">
        <v>101629.54</v>
      </c>
      <c r="F124" s="1">
        <v>184048.96999999901</v>
      </c>
    </row>
    <row r="125" spans="1:6" x14ac:dyDescent="0.35">
      <c r="A125">
        <v>201494</v>
      </c>
      <c r="B125">
        <v>30</v>
      </c>
      <c r="C125" s="1">
        <v>86601.84</v>
      </c>
      <c r="D125">
        <v>39</v>
      </c>
      <c r="E125" s="1">
        <v>97328.34</v>
      </c>
      <c r="F125" s="1">
        <v>183930.18</v>
      </c>
    </row>
    <row r="126" spans="1:6" x14ac:dyDescent="0.35">
      <c r="A126">
        <v>201604</v>
      </c>
      <c r="B126">
        <v>37</v>
      </c>
      <c r="C126" s="1">
        <v>101650.02</v>
      </c>
      <c r="D126">
        <v>37</v>
      </c>
      <c r="E126" s="1">
        <v>82177.05</v>
      </c>
      <c r="F126" s="1">
        <v>183827.07</v>
      </c>
    </row>
    <row r="127" spans="1:6" x14ac:dyDescent="0.35">
      <c r="A127">
        <v>200672</v>
      </c>
      <c r="B127">
        <v>31</v>
      </c>
      <c r="C127" s="1">
        <v>88343.86</v>
      </c>
      <c r="D127">
        <v>39</v>
      </c>
      <c r="E127" s="1">
        <v>95414.02</v>
      </c>
      <c r="F127" s="1">
        <v>183757.88</v>
      </c>
    </row>
    <row r="128" spans="1:6" x14ac:dyDescent="0.35">
      <c r="A128">
        <v>201641</v>
      </c>
      <c r="B128">
        <v>40</v>
      </c>
      <c r="C128" s="1">
        <v>93404.58</v>
      </c>
      <c r="D128">
        <v>27</v>
      </c>
      <c r="E128" s="1">
        <v>90327.81</v>
      </c>
      <c r="F128" s="1">
        <v>183732.39</v>
      </c>
    </row>
    <row r="129" spans="1:6" x14ac:dyDescent="0.35">
      <c r="A129">
        <v>200013</v>
      </c>
      <c r="B129">
        <v>32</v>
      </c>
      <c r="C129" s="1">
        <v>75829.240000000005</v>
      </c>
      <c r="D129">
        <v>33</v>
      </c>
      <c r="E129" s="1">
        <v>107901.74</v>
      </c>
      <c r="F129" s="1">
        <v>183730.98</v>
      </c>
    </row>
    <row r="130" spans="1:6" x14ac:dyDescent="0.35">
      <c r="A130">
        <v>201025</v>
      </c>
      <c r="B130">
        <v>36</v>
      </c>
      <c r="C130" s="1">
        <v>90763.08</v>
      </c>
      <c r="D130">
        <v>36</v>
      </c>
      <c r="E130" s="1">
        <v>92807.87</v>
      </c>
      <c r="F130" s="1">
        <v>183570.95</v>
      </c>
    </row>
    <row r="131" spans="1:6" x14ac:dyDescent="0.35">
      <c r="A131">
        <v>201030</v>
      </c>
      <c r="B131">
        <v>35</v>
      </c>
      <c r="C131" s="1">
        <v>97678.27</v>
      </c>
      <c r="D131">
        <v>35</v>
      </c>
      <c r="E131" s="1">
        <v>85886.12</v>
      </c>
      <c r="F131" s="1">
        <v>183564.39</v>
      </c>
    </row>
    <row r="132" spans="1:6" x14ac:dyDescent="0.35">
      <c r="A132">
        <v>200817</v>
      </c>
      <c r="B132">
        <v>38</v>
      </c>
      <c r="C132" s="1">
        <v>111085.75</v>
      </c>
      <c r="D132">
        <v>30</v>
      </c>
      <c r="E132" s="1">
        <v>72440.95</v>
      </c>
      <c r="F132" s="1">
        <v>183526.7</v>
      </c>
    </row>
    <row r="133" spans="1:6" x14ac:dyDescent="0.35">
      <c r="A133">
        <v>200006</v>
      </c>
      <c r="B133">
        <v>31</v>
      </c>
      <c r="C133" s="1">
        <v>81556.479999999996</v>
      </c>
      <c r="D133">
        <v>37</v>
      </c>
      <c r="E133" s="1">
        <v>101692.95</v>
      </c>
      <c r="F133" s="1">
        <v>183249.43</v>
      </c>
    </row>
    <row r="134" spans="1:6" x14ac:dyDescent="0.35">
      <c r="A134">
        <v>200126</v>
      </c>
      <c r="B134">
        <v>27</v>
      </c>
      <c r="C134" s="1">
        <v>74308.02</v>
      </c>
      <c r="D134">
        <v>45</v>
      </c>
      <c r="E134" s="1">
        <v>108915.38</v>
      </c>
      <c r="F134" s="1">
        <v>183223.4</v>
      </c>
    </row>
    <row r="135" spans="1:6" x14ac:dyDescent="0.35">
      <c r="A135">
        <v>200478</v>
      </c>
      <c r="B135">
        <v>29</v>
      </c>
      <c r="C135" s="1">
        <v>74951.899999999994</v>
      </c>
      <c r="D135">
        <v>41</v>
      </c>
      <c r="E135" s="1">
        <v>108234.85</v>
      </c>
      <c r="F135" s="1">
        <v>183186.75</v>
      </c>
    </row>
    <row r="136" spans="1:6" x14ac:dyDescent="0.35">
      <c r="A136">
        <v>200307</v>
      </c>
      <c r="B136">
        <v>29</v>
      </c>
      <c r="C136" s="1">
        <v>81647.539999999994</v>
      </c>
      <c r="D136">
        <v>35</v>
      </c>
      <c r="E136" s="1">
        <v>101527.71</v>
      </c>
      <c r="F136" s="1">
        <v>183175.25</v>
      </c>
    </row>
    <row r="137" spans="1:6" x14ac:dyDescent="0.35">
      <c r="A137">
        <v>200880</v>
      </c>
      <c r="B137">
        <v>35</v>
      </c>
      <c r="C137" s="1">
        <v>104802.89</v>
      </c>
      <c r="D137">
        <v>37</v>
      </c>
      <c r="E137" s="1">
        <v>78185.149999999994</v>
      </c>
      <c r="F137" s="1">
        <v>182988.03999999899</v>
      </c>
    </row>
    <row r="138" spans="1:6" x14ac:dyDescent="0.35">
      <c r="A138">
        <v>201287</v>
      </c>
      <c r="B138">
        <v>36</v>
      </c>
      <c r="C138" s="1">
        <v>96695.95</v>
      </c>
      <c r="D138">
        <v>31</v>
      </c>
      <c r="E138" s="1">
        <v>86055.51</v>
      </c>
      <c r="F138" s="1">
        <v>182751.46</v>
      </c>
    </row>
    <row r="139" spans="1:6" x14ac:dyDescent="0.35">
      <c r="A139">
        <v>200437</v>
      </c>
      <c r="B139">
        <v>29</v>
      </c>
      <c r="C139" s="1">
        <v>78870.11</v>
      </c>
      <c r="D139">
        <v>34</v>
      </c>
      <c r="E139" s="1">
        <v>103797.12</v>
      </c>
      <c r="F139" s="1">
        <v>182667.22999999899</v>
      </c>
    </row>
    <row r="140" spans="1:6" x14ac:dyDescent="0.35">
      <c r="A140">
        <v>200486</v>
      </c>
      <c r="B140">
        <v>39</v>
      </c>
      <c r="C140" s="1">
        <v>124748.38</v>
      </c>
      <c r="D140">
        <v>22</v>
      </c>
      <c r="E140" s="1">
        <v>57908.19</v>
      </c>
      <c r="F140" s="1">
        <v>182656.57</v>
      </c>
    </row>
    <row r="141" spans="1:6" x14ac:dyDescent="0.35">
      <c r="A141">
        <v>201234</v>
      </c>
      <c r="B141">
        <v>40</v>
      </c>
      <c r="C141" s="1">
        <v>102749.47</v>
      </c>
      <c r="D141">
        <v>31</v>
      </c>
      <c r="E141" s="1">
        <v>79677.77</v>
      </c>
      <c r="F141" s="1">
        <v>182427.24</v>
      </c>
    </row>
    <row r="142" spans="1:6" x14ac:dyDescent="0.35">
      <c r="A142">
        <v>200208</v>
      </c>
      <c r="B142">
        <v>34</v>
      </c>
      <c r="C142" s="1">
        <v>82898.62</v>
      </c>
      <c r="D142">
        <v>38</v>
      </c>
      <c r="E142" s="1">
        <v>99478.99</v>
      </c>
      <c r="F142" s="1">
        <v>182377.61</v>
      </c>
    </row>
    <row r="143" spans="1:6" x14ac:dyDescent="0.35">
      <c r="A143">
        <v>200446</v>
      </c>
      <c r="B143">
        <v>26</v>
      </c>
      <c r="C143" s="1">
        <v>74141.61</v>
      </c>
      <c r="D143">
        <v>40</v>
      </c>
      <c r="E143" s="1">
        <v>108225.48</v>
      </c>
      <c r="F143" s="1">
        <v>182367.09</v>
      </c>
    </row>
    <row r="144" spans="1:6" x14ac:dyDescent="0.35">
      <c r="A144">
        <v>201627</v>
      </c>
      <c r="B144">
        <v>27</v>
      </c>
      <c r="C144" s="1">
        <v>74306.66</v>
      </c>
      <c r="D144">
        <v>35</v>
      </c>
      <c r="E144" s="1">
        <v>107954.02</v>
      </c>
      <c r="F144" s="1">
        <v>182260.68</v>
      </c>
    </row>
    <row r="145" spans="1:6" x14ac:dyDescent="0.35">
      <c r="A145">
        <v>200261</v>
      </c>
      <c r="B145">
        <v>37</v>
      </c>
      <c r="C145" s="1">
        <v>89745.98</v>
      </c>
      <c r="D145">
        <v>38</v>
      </c>
      <c r="E145" s="1">
        <v>92450.559999999998</v>
      </c>
      <c r="F145" s="1">
        <v>182196.53999999899</v>
      </c>
    </row>
    <row r="146" spans="1:6" x14ac:dyDescent="0.35">
      <c r="A146">
        <v>201552</v>
      </c>
      <c r="B146">
        <v>26</v>
      </c>
      <c r="C146" s="1">
        <v>74611.62</v>
      </c>
      <c r="D146">
        <v>39</v>
      </c>
      <c r="E146" s="1">
        <v>107372.98</v>
      </c>
      <c r="F146" s="1">
        <v>181984.59999999899</v>
      </c>
    </row>
    <row r="147" spans="1:6" x14ac:dyDescent="0.35">
      <c r="A147">
        <v>200469</v>
      </c>
      <c r="B147">
        <v>44</v>
      </c>
      <c r="C147" s="1">
        <v>118106.43</v>
      </c>
      <c r="D147">
        <v>26</v>
      </c>
      <c r="E147" s="1">
        <v>63708.75</v>
      </c>
      <c r="F147" s="1">
        <v>181815.18</v>
      </c>
    </row>
    <row r="148" spans="1:6" x14ac:dyDescent="0.35">
      <c r="A148">
        <v>200957</v>
      </c>
      <c r="B148">
        <v>34</v>
      </c>
      <c r="C148" s="1">
        <v>77061.929999999993</v>
      </c>
      <c r="D148">
        <v>42</v>
      </c>
      <c r="E148" s="1">
        <v>104691.37</v>
      </c>
      <c r="F148" s="1">
        <v>181753.3</v>
      </c>
    </row>
    <row r="149" spans="1:6" x14ac:dyDescent="0.35">
      <c r="A149">
        <v>200348</v>
      </c>
      <c r="B149">
        <v>36</v>
      </c>
      <c r="C149" s="1">
        <v>107307.33</v>
      </c>
      <c r="D149">
        <v>28</v>
      </c>
      <c r="E149" s="1">
        <v>74393.64</v>
      </c>
      <c r="F149" s="1">
        <v>181700.97</v>
      </c>
    </row>
    <row r="150" spans="1:6" x14ac:dyDescent="0.35">
      <c r="A150">
        <v>201039</v>
      </c>
      <c r="B150">
        <v>33</v>
      </c>
      <c r="C150" s="1">
        <v>90821</v>
      </c>
      <c r="D150">
        <v>35</v>
      </c>
      <c r="E150" s="1">
        <v>90742.89</v>
      </c>
      <c r="F150" s="1">
        <v>181563.89</v>
      </c>
    </row>
    <row r="151" spans="1:6" x14ac:dyDescent="0.35">
      <c r="A151">
        <v>200579</v>
      </c>
      <c r="B151">
        <v>33</v>
      </c>
      <c r="C151" s="1">
        <v>89596.6</v>
      </c>
      <c r="D151">
        <v>33</v>
      </c>
      <c r="E151" s="1">
        <v>91943.9</v>
      </c>
      <c r="F151" s="1">
        <v>181540.5</v>
      </c>
    </row>
    <row r="152" spans="1:6" x14ac:dyDescent="0.35">
      <c r="A152">
        <v>200755</v>
      </c>
      <c r="B152">
        <v>39</v>
      </c>
      <c r="C152" s="1">
        <v>100204.99</v>
      </c>
      <c r="D152">
        <v>32</v>
      </c>
      <c r="E152" s="1">
        <v>81107.5</v>
      </c>
      <c r="F152" s="1">
        <v>181312.49</v>
      </c>
    </row>
    <row r="153" spans="1:6" x14ac:dyDescent="0.35">
      <c r="A153">
        <v>200195</v>
      </c>
      <c r="B153">
        <v>32</v>
      </c>
      <c r="C153" s="1">
        <v>86788.36</v>
      </c>
      <c r="D153">
        <v>32</v>
      </c>
      <c r="E153" s="1">
        <v>94444.02</v>
      </c>
      <c r="F153" s="1">
        <v>181232.38</v>
      </c>
    </row>
    <row r="154" spans="1:6" x14ac:dyDescent="0.35">
      <c r="A154">
        <v>200088</v>
      </c>
      <c r="B154">
        <v>32</v>
      </c>
      <c r="C154" s="1">
        <v>83712.210000000006</v>
      </c>
      <c r="D154">
        <v>37</v>
      </c>
      <c r="E154" s="1">
        <v>97471.95</v>
      </c>
      <c r="F154" s="1">
        <v>181184.16</v>
      </c>
    </row>
    <row r="155" spans="1:6" x14ac:dyDescent="0.35">
      <c r="A155">
        <v>200094</v>
      </c>
      <c r="B155">
        <v>34</v>
      </c>
      <c r="C155" s="1">
        <v>92026.16</v>
      </c>
      <c r="D155">
        <v>35</v>
      </c>
      <c r="E155" s="1">
        <v>89148.19</v>
      </c>
      <c r="F155" s="1">
        <v>181174.35</v>
      </c>
    </row>
    <row r="156" spans="1:6" x14ac:dyDescent="0.35">
      <c r="A156">
        <v>201340</v>
      </c>
      <c r="B156">
        <v>33</v>
      </c>
      <c r="C156" s="1">
        <v>80335.47</v>
      </c>
      <c r="D156">
        <v>38</v>
      </c>
      <c r="E156" s="1">
        <v>100661.74</v>
      </c>
      <c r="F156" s="1">
        <v>180997.21</v>
      </c>
    </row>
    <row r="157" spans="1:6" x14ac:dyDescent="0.35">
      <c r="A157">
        <v>201190</v>
      </c>
      <c r="B157">
        <v>40</v>
      </c>
      <c r="C157" s="1">
        <v>96144.29</v>
      </c>
      <c r="D157">
        <v>34</v>
      </c>
      <c r="E157" s="1">
        <v>84740.35</v>
      </c>
      <c r="F157" s="1">
        <v>180884.64</v>
      </c>
    </row>
    <row r="158" spans="1:6" x14ac:dyDescent="0.35">
      <c r="A158">
        <v>201528</v>
      </c>
      <c r="B158">
        <v>29</v>
      </c>
      <c r="C158" s="1">
        <v>66697.63</v>
      </c>
      <c r="D158">
        <v>40</v>
      </c>
      <c r="E158" s="1">
        <v>113920.19</v>
      </c>
      <c r="F158" s="1">
        <v>180617.82</v>
      </c>
    </row>
    <row r="159" spans="1:6" x14ac:dyDescent="0.35">
      <c r="A159">
        <v>200947</v>
      </c>
      <c r="B159">
        <v>32</v>
      </c>
      <c r="C159" s="1">
        <v>82315.41</v>
      </c>
      <c r="D159">
        <v>33</v>
      </c>
      <c r="E159" s="1">
        <v>98230.16</v>
      </c>
      <c r="F159" s="1">
        <v>180545.57</v>
      </c>
    </row>
    <row r="160" spans="1:6" x14ac:dyDescent="0.35">
      <c r="A160">
        <v>200068</v>
      </c>
      <c r="B160">
        <v>42</v>
      </c>
      <c r="C160" s="1">
        <v>115360.98</v>
      </c>
      <c r="D160">
        <v>26</v>
      </c>
      <c r="E160" s="1">
        <v>65168.08</v>
      </c>
      <c r="F160" s="1">
        <v>180529.06</v>
      </c>
    </row>
    <row r="161" spans="1:6" x14ac:dyDescent="0.35">
      <c r="A161">
        <v>201368</v>
      </c>
      <c r="B161">
        <v>33</v>
      </c>
      <c r="C161" s="1">
        <v>88626.96</v>
      </c>
      <c r="D161">
        <v>37</v>
      </c>
      <c r="E161" s="1">
        <v>91657.19</v>
      </c>
      <c r="F161" s="1">
        <v>180284.15</v>
      </c>
    </row>
    <row r="162" spans="1:6" x14ac:dyDescent="0.35">
      <c r="A162">
        <v>201243</v>
      </c>
      <c r="B162">
        <v>34</v>
      </c>
      <c r="C162" s="1">
        <v>101379.84</v>
      </c>
      <c r="D162">
        <v>36</v>
      </c>
      <c r="E162" s="1">
        <v>78807.28</v>
      </c>
      <c r="F162" s="1">
        <v>180187.12</v>
      </c>
    </row>
    <row r="163" spans="1:6" x14ac:dyDescent="0.35">
      <c r="A163">
        <v>200802</v>
      </c>
      <c r="B163">
        <v>26</v>
      </c>
      <c r="C163" s="1">
        <v>69321.95</v>
      </c>
      <c r="D163">
        <v>45</v>
      </c>
      <c r="E163" s="1">
        <v>110728.34</v>
      </c>
      <c r="F163" s="1">
        <v>180050.28999999899</v>
      </c>
    </row>
    <row r="164" spans="1:6" x14ac:dyDescent="0.35">
      <c r="A164">
        <v>200058</v>
      </c>
      <c r="B164">
        <v>30</v>
      </c>
      <c r="C164" s="1">
        <v>78443.38</v>
      </c>
      <c r="D164">
        <v>39</v>
      </c>
      <c r="E164" s="1">
        <v>101436.66</v>
      </c>
      <c r="F164" s="1">
        <v>179880.04</v>
      </c>
    </row>
    <row r="165" spans="1:6" x14ac:dyDescent="0.35">
      <c r="A165">
        <v>200666</v>
      </c>
      <c r="B165">
        <v>42</v>
      </c>
      <c r="C165" s="1">
        <v>101341.66</v>
      </c>
      <c r="D165">
        <v>36</v>
      </c>
      <c r="E165" s="1">
        <v>78346.259999999995</v>
      </c>
      <c r="F165" s="1">
        <v>179687.91999999899</v>
      </c>
    </row>
    <row r="166" spans="1:6" x14ac:dyDescent="0.35">
      <c r="A166">
        <v>200575</v>
      </c>
      <c r="B166">
        <v>32</v>
      </c>
      <c r="C166" s="1">
        <v>98249.77</v>
      </c>
      <c r="D166">
        <v>30</v>
      </c>
      <c r="E166" s="1">
        <v>81412.41</v>
      </c>
      <c r="F166" s="1">
        <v>179662.18</v>
      </c>
    </row>
    <row r="167" spans="1:6" x14ac:dyDescent="0.35">
      <c r="A167">
        <v>200801</v>
      </c>
      <c r="B167">
        <v>35</v>
      </c>
      <c r="C167" s="1">
        <v>92772.52</v>
      </c>
      <c r="D167">
        <v>33</v>
      </c>
      <c r="E167" s="1">
        <v>86787.41</v>
      </c>
      <c r="F167" s="1">
        <v>179559.93</v>
      </c>
    </row>
    <row r="168" spans="1:6" x14ac:dyDescent="0.35">
      <c r="A168">
        <v>201462</v>
      </c>
      <c r="B168">
        <v>35</v>
      </c>
      <c r="C168" s="1">
        <v>80907.320000000007</v>
      </c>
      <c r="D168">
        <v>34</v>
      </c>
      <c r="E168" s="1">
        <v>98391.99</v>
      </c>
      <c r="F168" s="1">
        <v>179299.31</v>
      </c>
    </row>
    <row r="169" spans="1:6" x14ac:dyDescent="0.35">
      <c r="A169">
        <v>200442</v>
      </c>
      <c r="B169">
        <v>33</v>
      </c>
      <c r="C169" s="1">
        <v>94427.24</v>
      </c>
      <c r="D169">
        <v>29</v>
      </c>
      <c r="E169" s="1">
        <v>84829.05</v>
      </c>
      <c r="F169" s="1">
        <v>179256.29</v>
      </c>
    </row>
    <row r="170" spans="1:6" x14ac:dyDescent="0.35">
      <c r="A170">
        <v>201483</v>
      </c>
      <c r="B170">
        <v>37</v>
      </c>
      <c r="C170" s="1">
        <v>87099.55</v>
      </c>
      <c r="D170">
        <v>36</v>
      </c>
      <c r="E170" s="1">
        <v>91996.81</v>
      </c>
      <c r="F170" s="1">
        <v>179096.36</v>
      </c>
    </row>
    <row r="171" spans="1:6" x14ac:dyDescent="0.35">
      <c r="A171">
        <v>201617</v>
      </c>
      <c r="B171">
        <v>32</v>
      </c>
      <c r="C171" s="1">
        <v>96535.26</v>
      </c>
      <c r="D171">
        <v>33</v>
      </c>
      <c r="E171" s="1">
        <v>82557.09</v>
      </c>
      <c r="F171" s="1">
        <v>179092.34999999899</v>
      </c>
    </row>
    <row r="172" spans="1:6" x14ac:dyDescent="0.35">
      <c r="A172">
        <v>200065</v>
      </c>
      <c r="B172">
        <v>36</v>
      </c>
      <c r="C172" s="1">
        <v>98705.06</v>
      </c>
      <c r="D172">
        <v>32</v>
      </c>
      <c r="E172" s="1">
        <v>80364.13</v>
      </c>
      <c r="F172" s="1">
        <v>179069.19</v>
      </c>
    </row>
    <row r="173" spans="1:6" x14ac:dyDescent="0.35">
      <c r="A173">
        <v>200362</v>
      </c>
      <c r="B173">
        <v>29</v>
      </c>
      <c r="C173" s="1">
        <v>73355.570000000007</v>
      </c>
      <c r="D173">
        <v>38</v>
      </c>
      <c r="E173" s="1">
        <v>105631.46</v>
      </c>
      <c r="F173" s="1">
        <v>178987.03</v>
      </c>
    </row>
    <row r="174" spans="1:6" x14ac:dyDescent="0.35">
      <c r="A174">
        <v>200062</v>
      </c>
      <c r="B174">
        <v>37</v>
      </c>
      <c r="C174" s="1">
        <v>85492.49</v>
      </c>
      <c r="D174">
        <v>35</v>
      </c>
      <c r="E174" s="1">
        <v>93428.04</v>
      </c>
      <c r="F174" s="1">
        <v>178920.53</v>
      </c>
    </row>
    <row r="175" spans="1:6" x14ac:dyDescent="0.35">
      <c r="A175">
        <v>201531</v>
      </c>
      <c r="B175">
        <v>32</v>
      </c>
      <c r="C175" s="1">
        <v>97912.06</v>
      </c>
      <c r="D175">
        <v>28</v>
      </c>
      <c r="E175" s="1">
        <v>80916.05</v>
      </c>
      <c r="F175" s="1">
        <v>178828.11</v>
      </c>
    </row>
    <row r="176" spans="1:6" x14ac:dyDescent="0.35">
      <c r="A176">
        <v>201618</v>
      </c>
      <c r="B176">
        <v>38</v>
      </c>
      <c r="C176" s="1">
        <v>99299.97</v>
      </c>
      <c r="D176">
        <v>33</v>
      </c>
      <c r="E176" s="1">
        <v>79104.84</v>
      </c>
      <c r="F176" s="1">
        <v>178404.81</v>
      </c>
    </row>
    <row r="177" spans="1:6" x14ac:dyDescent="0.35">
      <c r="A177">
        <v>200035</v>
      </c>
      <c r="B177">
        <v>36</v>
      </c>
      <c r="C177" s="1">
        <v>95719.01</v>
      </c>
      <c r="D177">
        <v>36</v>
      </c>
      <c r="E177" s="1">
        <v>82319.39</v>
      </c>
      <c r="F177" s="1">
        <v>178038.39999999999</v>
      </c>
    </row>
    <row r="178" spans="1:6" x14ac:dyDescent="0.35">
      <c r="A178">
        <v>200417</v>
      </c>
      <c r="B178">
        <v>25</v>
      </c>
      <c r="C178" s="1">
        <v>68142.34</v>
      </c>
      <c r="D178">
        <v>37</v>
      </c>
      <c r="E178" s="1">
        <v>109847.6</v>
      </c>
      <c r="F178" s="1">
        <v>177989.94</v>
      </c>
    </row>
    <row r="179" spans="1:6" x14ac:dyDescent="0.35">
      <c r="A179">
        <v>201597</v>
      </c>
      <c r="B179">
        <v>41</v>
      </c>
      <c r="C179" s="1">
        <v>100147.67</v>
      </c>
      <c r="D179">
        <v>37</v>
      </c>
      <c r="E179" s="1">
        <v>77828.37</v>
      </c>
      <c r="F179" s="1">
        <v>177976.03999999899</v>
      </c>
    </row>
    <row r="180" spans="1:6" x14ac:dyDescent="0.35">
      <c r="A180">
        <v>200022</v>
      </c>
      <c r="B180">
        <v>31</v>
      </c>
      <c r="C180" s="1">
        <v>73755.12</v>
      </c>
      <c r="D180">
        <v>40</v>
      </c>
      <c r="E180" s="1">
        <v>104139.57</v>
      </c>
      <c r="F180" s="1">
        <v>177894.69</v>
      </c>
    </row>
    <row r="181" spans="1:6" x14ac:dyDescent="0.35">
      <c r="A181">
        <v>200577</v>
      </c>
      <c r="B181">
        <v>24</v>
      </c>
      <c r="C181" s="1">
        <v>55234.86</v>
      </c>
      <c r="D181">
        <v>51</v>
      </c>
      <c r="E181" s="1">
        <v>122649.76</v>
      </c>
      <c r="F181" s="1">
        <v>177884.62</v>
      </c>
    </row>
    <row r="182" spans="1:6" x14ac:dyDescent="0.35">
      <c r="A182">
        <v>200639</v>
      </c>
      <c r="B182">
        <v>24</v>
      </c>
      <c r="C182" s="1">
        <v>63986.28</v>
      </c>
      <c r="D182">
        <v>42</v>
      </c>
      <c r="E182" s="1">
        <v>113674.06</v>
      </c>
      <c r="F182" s="1">
        <v>177660.34</v>
      </c>
    </row>
    <row r="183" spans="1:6" x14ac:dyDescent="0.35">
      <c r="A183">
        <v>200773</v>
      </c>
      <c r="B183">
        <v>35</v>
      </c>
      <c r="C183" s="1">
        <v>85877.06</v>
      </c>
      <c r="D183">
        <v>36</v>
      </c>
      <c r="E183" s="1">
        <v>91771.11</v>
      </c>
      <c r="F183" s="1">
        <v>177648.16999999899</v>
      </c>
    </row>
    <row r="184" spans="1:6" x14ac:dyDescent="0.35">
      <c r="A184">
        <v>200867</v>
      </c>
      <c r="B184">
        <v>33</v>
      </c>
      <c r="C184" s="1">
        <v>92004.4</v>
      </c>
      <c r="D184">
        <v>36</v>
      </c>
      <c r="E184" s="1">
        <v>85625.09</v>
      </c>
      <c r="F184" s="1">
        <v>177629.49</v>
      </c>
    </row>
    <row r="185" spans="1:6" x14ac:dyDescent="0.35">
      <c r="A185">
        <v>200297</v>
      </c>
      <c r="B185">
        <v>36</v>
      </c>
      <c r="C185" s="1">
        <v>89011.67</v>
      </c>
      <c r="D185">
        <v>37</v>
      </c>
      <c r="E185" s="1">
        <v>88487.87</v>
      </c>
      <c r="F185" s="1">
        <v>177499.53999999899</v>
      </c>
    </row>
    <row r="186" spans="1:6" x14ac:dyDescent="0.35">
      <c r="A186">
        <v>200484</v>
      </c>
      <c r="B186">
        <v>33</v>
      </c>
      <c r="C186" s="1">
        <v>95391.26</v>
      </c>
      <c r="D186">
        <v>31</v>
      </c>
      <c r="E186" s="1">
        <v>81820.509999999995</v>
      </c>
      <c r="F186" s="1">
        <v>177211.77</v>
      </c>
    </row>
    <row r="187" spans="1:6" x14ac:dyDescent="0.35">
      <c r="A187">
        <v>201323</v>
      </c>
      <c r="B187">
        <v>42</v>
      </c>
      <c r="C187" s="1">
        <v>106474.69</v>
      </c>
      <c r="D187">
        <v>30</v>
      </c>
      <c r="E187" s="1">
        <v>70619.08</v>
      </c>
      <c r="F187" s="1">
        <v>177093.77</v>
      </c>
    </row>
    <row r="188" spans="1:6" x14ac:dyDescent="0.35">
      <c r="A188">
        <v>201124</v>
      </c>
      <c r="B188">
        <v>35</v>
      </c>
      <c r="C188" s="1">
        <v>82390.09</v>
      </c>
      <c r="D188">
        <v>37</v>
      </c>
      <c r="E188" s="1">
        <v>94637.77</v>
      </c>
      <c r="F188" s="1">
        <v>177027.86</v>
      </c>
    </row>
    <row r="189" spans="1:6" x14ac:dyDescent="0.35">
      <c r="A189">
        <v>200796</v>
      </c>
      <c r="B189">
        <v>45</v>
      </c>
      <c r="C189" s="1">
        <v>114053.85</v>
      </c>
      <c r="D189">
        <v>31</v>
      </c>
      <c r="E189" s="1">
        <v>62779.18</v>
      </c>
      <c r="F189" s="1">
        <v>176833.03</v>
      </c>
    </row>
    <row r="190" spans="1:6" x14ac:dyDescent="0.35">
      <c r="A190">
        <v>200787</v>
      </c>
      <c r="B190">
        <v>35</v>
      </c>
      <c r="C190" s="1">
        <v>105418.51</v>
      </c>
      <c r="D190">
        <v>27</v>
      </c>
      <c r="E190" s="1">
        <v>71398.73</v>
      </c>
      <c r="F190" s="1">
        <v>176817.24</v>
      </c>
    </row>
    <row r="191" spans="1:6" x14ac:dyDescent="0.35">
      <c r="A191">
        <v>201066</v>
      </c>
      <c r="B191">
        <v>25</v>
      </c>
      <c r="C191" s="1">
        <v>58575.13</v>
      </c>
      <c r="D191">
        <v>42</v>
      </c>
      <c r="E191" s="1">
        <v>118201.3</v>
      </c>
      <c r="F191" s="1">
        <v>176776.43</v>
      </c>
    </row>
    <row r="192" spans="1:6" x14ac:dyDescent="0.35">
      <c r="A192">
        <v>201594</v>
      </c>
      <c r="B192">
        <v>35</v>
      </c>
      <c r="C192" s="1">
        <v>81869.34</v>
      </c>
      <c r="D192">
        <v>33</v>
      </c>
      <c r="E192" s="1">
        <v>94839.55</v>
      </c>
      <c r="F192" s="1">
        <v>176708.89</v>
      </c>
    </row>
    <row r="193" spans="1:6" x14ac:dyDescent="0.35">
      <c r="A193">
        <v>200419</v>
      </c>
      <c r="B193">
        <v>29</v>
      </c>
      <c r="C193" s="1">
        <v>82871.47</v>
      </c>
      <c r="D193">
        <v>38</v>
      </c>
      <c r="E193" s="1">
        <v>93817.15</v>
      </c>
      <c r="F193" s="1">
        <v>176688.62</v>
      </c>
    </row>
    <row r="194" spans="1:6" x14ac:dyDescent="0.35">
      <c r="A194">
        <v>201583</v>
      </c>
      <c r="B194">
        <v>32</v>
      </c>
      <c r="C194" s="1">
        <v>73045.179999999993</v>
      </c>
      <c r="D194">
        <v>41</v>
      </c>
      <c r="E194" s="1">
        <v>103557.26</v>
      </c>
      <c r="F194" s="1">
        <v>176602.44</v>
      </c>
    </row>
    <row r="195" spans="1:6" x14ac:dyDescent="0.35">
      <c r="A195">
        <v>200287</v>
      </c>
      <c r="B195">
        <v>36</v>
      </c>
      <c r="C195" s="1">
        <v>64749.39</v>
      </c>
      <c r="D195">
        <v>39</v>
      </c>
      <c r="E195" s="1">
        <v>111619.28</v>
      </c>
      <c r="F195" s="1">
        <v>176368.66999999899</v>
      </c>
    </row>
    <row r="196" spans="1:6" x14ac:dyDescent="0.35">
      <c r="A196">
        <v>201112</v>
      </c>
      <c r="B196">
        <v>32</v>
      </c>
      <c r="C196" s="1">
        <v>85513.14</v>
      </c>
      <c r="D196">
        <v>33</v>
      </c>
      <c r="E196" s="1">
        <v>90853.759999999995</v>
      </c>
      <c r="F196" s="1">
        <v>176366.9</v>
      </c>
    </row>
    <row r="197" spans="1:6" x14ac:dyDescent="0.35">
      <c r="A197">
        <v>201408</v>
      </c>
      <c r="B197">
        <v>31</v>
      </c>
      <c r="C197" s="1">
        <v>67772.66</v>
      </c>
      <c r="D197">
        <v>38</v>
      </c>
      <c r="E197" s="1">
        <v>108508.36</v>
      </c>
      <c r="F197" s="1">
        <v>176281.02</v>
      </c>
    </row>
    <row r="198" spans="1:6" x14ac:dyDescent="0.35">
      <c r="A198">
        <v>200168</v>
      </c>
      <c r="B198">
        <v>32</v>
      </c>
      <c r="C198" s="1">
        <v>90272.41</v>
      </c>
      <c r="D198">
        <v>30</v>
      </c>
      <c r="E198" s="1">
        <v>85989.57</v>
      </c>
      <c r="F198" s="1">
        <v>176261.98</v>
      </c>
    </row>
    <row r="199" spans="1:6" x14ac:dyDescent="0.35">
      <c r="A199">
        <v>200423</v>
      </c>
      <c r="B199">
        <v>28</v>
      </c>
      <c r="C199" s="1">
        <v>76145.429999999993</v>
      </c>
      <c r="D199">
        <v>40</v>
      </c>
      <c r="E199" s="1">
        <v>100074.01</v>
      </c>
      <c r="F199" s="1">
        <v>176219.44</v>
      </c>
    </row>
    <row r="200" spans="1:6" x14ac:dyDescent="0.35">
      <c r="A200">
        <v>200090</v>
      </c>
      <c r="B200">
        <v>38</v>
      </c>
      <c r="C200" s="1">
        <v>100414.63</v>
      </c>
      <c r="D200">
        <v>30</v>
      </c>
      <c r="E200" s="1">
        <v>75664.149999999994</v>
      </c>
      <c r="F200" s="1">
        <v>176078.78</v>
      </c>
    </row>
    <row r="201" spans="1:6" x14ac:dyDescent="0.35">
      <c r="A201">
        <v>200354</v>
      </c>
      <c r="B201">
        <v>29</v>
      </c>
      <c r="C201" s="1">
        <v>73000.240000000005</v>
      </c>
      <c r="D201">
        <v>35</v>
      </c>
      <c r="E201" s="1">
        <v>103067.47</v>
      </c>
      <c r="F201" s="1">
        <v>176067.71</v>
      </c>
    </row>
    <row r="202" spans="1:6" x14ac:dyDescent="0.35">
      <c r="A202">
        <v>200137</v>
      </c>
      <c r="B202">
        <v>36</v>
      </c>
      <c r="C202" s="1">
        <v>101158.66</v>
      </c>
      <c r="D202">
        <v>33</v>
      </c>
      <c r="E202" s="1">
        <v>74893.95</v>
      </c>
      <c r="F202" s="1">
        <v>176052.61</v>
      </c>
    </row>
    <row r="203" spans="1:6" x14ac:dyDescent="0.35">
      <c r="A203">
        <v>201380</v>
      </c>
      <c r="B203">
        <v>35</v>
      </c>
      <c r="C203" s="1">
        <v>98141.23</v>
      </c>
      <c r="D203">
        <v>33</v>
      </c>
      <c r="E203" s="1">
        <v>77899.48</v>
      </c>
      <c r="F203" s="1">
        <v>176040.71</v>
      </c>
    </row>
    <row r="204" spans="1:6" x14ac:dyDescent="0.35">
      <c r="A204">
        <v>201043</v>
      </c>
      <c r="B204">
        <v>37</v>
      </c>
      <c r="C204" s="1">
        <v>97129.82</v>
      </c>
      <c r="D204">
        <v>36</v>
      </c>
      <c r="E204" s="1">
        <v>78882.899999999994</v>
      </c>
      <c r="F204" s="1">
        <v>176012.72</v>
      </c>
    </row>
    <row r="205" spans="1:6" x14ac:dyDescent="0.35">
      <c r="A205">
        <v>201132</v>
      </c>
      <c r="B205">
        <v>32</v>
      </c>
      <c r="C205" s="1">
        <v>86698.22</v>
      </c>
      <c r="D205">
        <v>32</v>
      </c>
      <c r="E205" s="1">
        <v>89292.41</v>
      </c>
      <c r="F205" s="1">
        <v>175990.63</v>
      </c>
    </row>
    <row r="206" spans="1:6" x14ac:dyDescent="0.35">
      <c r="A206">
        <v>200219</v>
      </c>
      <c r="B206">
        <v>28</v>
      </c>
      <c r="C206" s="1">
        <v>74721.09</v>
      </c>
      <c r="D206">
        <v>47</v>
      </c>
      <c r="E206" s="1">
        <v>101263.74</v>
      </c>
      <c r="F206" s="1">
        <v>175984.83</v>
      </c>
    </row>
    <row r="207" spans="1:6" x14ac:dyDescent="0.35">
      <c r="A207">
        <v>200703</v>
      </c>
      <c r="B207">
        <v>36</v>
      </c>
      <c r="C207" s="1">
        <v>80621.679999999993</v>
      </c>
      <c r="D207">
        <v>37</v>
      </c>
      <c r="E207" s="1">
        <v>95353.78</v>
      </c>
      <c r="F207" s="1">
        <v>175975.46</v>
      </c>
    </row>
    <row r="208" spans="1:6" x14ac:dyDescent="0.35">
      <c r="A208">
        <v>200503</v>
      </c>
      <c r="B208">
        <v>28</v>
      </c>
      <c r="C208" s="1">
        <v>79834.33</v>
      </c>
      <c r="D208">
        <v>36</v>
      </c>
      <c r="E208" s="1">
        <v>96134.94</v>
      </c>
      <c r="F208" s="1">
        <v>175969.27</v>
      </c>
    </row>
    <row r="209" spans="1:6" x14ac:dyDescent="0.35">
      <c r="A209">
        <v>200962</v>
      </c>
      <c r="B209">
        <v>34</v>
      </c>
      <c r="C209" s="1">
        <v>81735.48</v>
      </c>
      <c r="D209">
        <v>41</v>
      </c>
      <c r="E209" s="1">
        <v>93985.71</v>
      </c>
      <c r="F209" s="1">
        <v>175721.19</v>
      </c>
    </row>
    <row r="210" spans="1:6" x14ac:dyDescent="0.35">
      <c r="A210">
        <v>200825</v>
      </c>
      <c r="B210">
        <v>33</v>
      </c>
      <c r="C210" s="1">
        <v>87120.47</v>
      </c>
      <c r="D210">
        <v>36</v>
      </c>
      <c r="E210" s="1">
        <v>88564.19</v>
      </c>
      <c r="F210" s="1">
        <v>175684.66</v>
      </c>
    </row>
    <row r="211" spans="1:6" x14ac:dyDescent="0.35">
      <c r="A211">
        <v>201367</v>
      </c>
      <c r="B211">
        <v>32</v>
      </c>
      <c r="C211" s="1">
        <v>78316.08</v>
      </c>
      <c r="D211">
        <v>33</v>
      </c>
      <c r="E211" s="1">
        <v>97284.03</v>
      </c>
      <c r="F211" s="1">
        <v>175600.11</v>
      </c>
    </row>
    <row r="212" spans="1:6" x14ac:dyDescent="0.35">
      <c r="A212">
        <v>200546</v>
      </c>
      <c r="B212">
        <v>38</v>
      </c>
      <c r="C212" s="1">
        <v>107722.33</v>
      </c>
      <c r="D212">
        <v>27</v>
      </c>
      <c r="E212" s="1">
        <v>67606.31</v>
      </c>
      <c r="F212" s="1">
        <v>175328.64000000001</v>
      </c>
    </row>
    <row r="213" spans="1:6" x14ac:dyDescent="0.35">
      <c r="A213">
        <v>200925</v>
      </c>
      <c r="B213">
        <v>39</v>
      </c>
      <c r="C213" s="1">
        <v>105490.13</v>
      </c>
      <c r="D213">
        <v>29</v>
      </c>
      <c r="E213" s="1">
        <v>69525.06</v>
      </c>
      <c r="F213" s="1">
        <v>175015.19</v>
      </c>
    </row>
    <row r="214" spans="1:6" x14ac:dyDescent="0.35">
      <c r="A214">
        <v>201077</v>
      </c>
      <c r="B214">
        <v>32</v>
      </c>
      <c r="C214" s="1">
        <v>67920.12</v>
      </c>
      <c r="D214">
        <v>35</v>
      </c>
      <c r="E214" s="1">
        <v>106998.07</v>
      </c>
      <c r="F214" s="1">
        <v>174918.19</v>
      </c>
    </row>
    <row r="215" spans="1:6" x14ac:dyDescent="0.35">
      <c r="A215">
        <v>201435</v>
      </c>
      <c r="B215">
        <v>29</v>
      </c>
      <c r="C215" s="1">
        <v>79927.429999999993</v>
      </c>
      <c r="D215">
        <v>34</v>
      </c>
      <c r="E215" s="1">
        <v>94954.59</v>
      </c>
      <c r="F215" s="1">
        <v>174882.02</v>
      </c>
    </row>
    <row r="216" spans="1:6" x14ac:dyDescent="0.35">
      <c r="A216">
        <v>201276</v>
      </c>
      <c r="B216">
        <v>39</v>
      </c>
      <c r="C216" s="1">
        <v>95463.67</v>
      </c>
      <c r="D216">
        <v>30</v>
      </c>
      <c r="E216" s="1">
        <v>79319.289999999994</v>
      </c>
      <c r="F216" s="1">
        <v>174782.96</v>
      </c>
    </row>
    <row r="217" spans="1:6" x14ac:dyDescent="0.35">
      <c r="A217">
        <v>200602</v>
      </c>
      <c r="B217">
        <v>48</v>
      </c>
      <c r="C217" s="1">
        <v>108655.73</v>
      </c>
      <c r="D217">
        <v>28</v>
      </c>
      <c r="E217" s="1">
        <v>66110.58</v>
      </c>
      <c r="F217" s="1">
        <v>174766.31</v>
      </c>
    </row>
    <row r="218" spans="1:6" x14ac:dyDescent="0.35">
      <c r="A218">
        <v>201472</v>
      </c>
      <c r="B218">
        <v>32</v>
      </c>
      <c r="C218" s="1">
        <v>80472.63</v>
      </c>
      <c r="D218">
        <v>37</v>
      </c>
      <c r="E218" s="1">
        <v>94286.46</v>
      </c>
      <c r="F218" s="1">
        <v>174759.09</v>
      </c>
    </row>
    <row r="219" spans="1:6" x14ac:dyDescent="0.35">
      <c r="A219">
        <v>200178</v>
      </c>
      <c r="B219">
        <v>35</v>
      </c>
      <c r="C219" s="1">
        <v>81029.149999999994</v>
      </c>
      <c r="D219">
        <v>39</v>
      </c>
      <c r="E219" s="1">
        <v>93729.19</v>
      </c>
      <c r="F219" s="1">
        <v>174758.34</v>
      </c>
    </row>
    <row r="220" spans="1:6" x14ac:dyDescent="0.35">
      <c r="A220">
        <v>201256</v>
      </c>
      <c r="B220">
        <v>36</v>
      </c>
      <c r="C220" s="1">
        <v>94533.3</v>
      </c>
      <c r="D220">
        <v>32</v>
      </c>
      <c r="E220" s="1">
        <v>80211.06</v>
      </c>
      <c r="F220" s="1">
        <v>174744.36</v>
      </c>
    </row>
    <row r="221" spans="1:6" x14ac:dyDescent="0.35">
      <c r="A221">
        <v>201224</v>
      </c>
      <c r="B221">
        <v>32</v>
      </c>
      <c r="C221" s="1">
        <v>84062.16</v>
      </c>
      <c r="D221">
        <v>36</v>
      </c>
      <c r="E221" s="1">
        <v>90658.81</v>
      </c>
      <c r="F221" s="1">
        <v>174720.97</v>
      </c>
    </row>
    <row r="222" spans="1:6" x14ac:dyDescent="0.35">
      <c r="A222">
        <v>201487</v>
      </c>
      <c r="B222">
        <v>41</v>
      </c>
      <c r="C222" s="1">
        <v>117970.57</v>
      </c>
      <c r="D222">
        <v>23</v>
      </c>
      <c r="E222" s="1">
        <v>56548.72</v>
      </c>
      <c r="F222" s="1">
        <v>174519.29</v>
      </c>
    </row>
    <row r="223" spans="1:6" x14ac:dyDescent="0.35">
      <c r="A223">
        <v>200245</v>
      </c>
      <c r="B223">
        <v>40</v>
      </c>
      <c r="C223" s="1">
        <v>98469.16</v>
      </c>
      <c r="D223">
        <v>29</v>
      </c>
      <c r="E223" s="1">
        <v>75888.53</v>
      </c>
      <c r="F223" s="1">
        <v>174357.69</v>
      </c>
    </row>
    <row r="224" spans="1:6" x14ac:dyDescent="0.35">
      <c r="A224">
        <v>201588</v>
      </c>
      <c r="B224">
        <v>34</v>
      </c>
      <c r="C224" s="1">
        <v>94896.03</v>
      </c>
      <c r="D224">
        <v>28</v>
      </c>
      <c r="E224" s="1">
        <v>79403.88</v>
      </c>
      <c r="F224" s="1">
        <v>174299.91</v>
      </c>
    </row>
    <row r="225" spans="1:6" x14ac:dyDescent="0.35">
      <c r="A225">
        <v>201642</v>
      </c>
      <c r="B225">
        <v>32</v>
      </c>
      <c r="C225" s="1">
        <v>84550.85</v>
      </c>
      <c r="D225">
        <v>37</v>
      </c>
      <c r="E225" s="1">
        <v>89537.93</v>
      </c>
      <c r="F225" s="1">
        <v>174088.78</v>
      </c>
    </row>
    <row r="226" spans="1:6" x14ac:dyDescent="0.35">
      <c r="A226">
        <v>200946</v>
      </c>
      <c r="B226">
        <v>33</v>
      </c>
      <c r="C226" s="1">
        <v>83649.03</v>
      </c>
      <c r="D226">
        <v>34</v>
      </c>
      <c r="E226" s="1">
        <v>90419.83</v>
      </c>
      <c r="F226" s="1">
        <v>174068.86</v>
      </c>
    </row>
    <row r="227" spans="1:6" x14ac:dyDescent="0.35">
      <c r="A227">
        <v>200016</v>
      </c>
      <c r="B227">
        <v>32</v>
      </c>
      <c r="C227" s="1">
        <v>99833.66</v>
      </c>
      <c r="D227">
        <v>33</v>
      </c>
      <c r="E227" s="1">
        <v>74232.83</v>
      </c>
      <c r="F227" s="1">
        <v>174066.49</v>
      </c>
    </row>
    <row r="228" spans="1:6" x14ac:dyDescent="0.35">
      <c r="A228">
        <v>200034</v>
      </c>
      <c r="B228">
        <v>34</v>
      </c>
      <c r="C228" s="1">
        <v>95783.07</v>
      </c>
      <c r="D228">
        <v>33</v>
      </c>
      <c r="E228" s="1">
        <v>78275.429999999993</v>
      </c>
      <c r="F228" s="1">
        <v>174058.5</v>
      </c>
    </row>
    <row r="229" spans="1:6" x14ac:dyDescent="0.35">
      <c r="A229">
        <v>200402</v>
      </c>
      <c r="B229">
        <v>29</v>
      </c>
      <c r="C229" s="1">
        <v>86398.96</v>
      </c>
      <c r="D229">
        <v>34</v>
      </c>
      <c r="E229" s="1">
        <v>87596.3</v>
      </c>
      <c r="F229" s="1">
        <v>173995.26</v>
      </c>
    </row>
    <row r="230" spans="1:6" x14ac:dyDescent="0.35">
      <c r="A230">
        <v>201027</v>
      </c>
      <c r="B230">
        <v>34</v>
      </c>
      <c r="C230" s="1">
        <v>76026.63</v>
      </c>
      <c r="D230">
        <v>38</v>
      </c>
      <c r="E230" s="1">
        <v>97746.01</v>
      </c>
      <c r="F230" s="1">
        <v>173772.64</v>
      </c>
    </row>
    <row r="231" spans="1:6" x14ac:dyDescent="0.35">
      <c r="A231">
        <v>200879</v>
      </c>
      <c r="B231">
        <v>34</v>
      </c>
      <c r="C231" s="1">
        <v>78781.91</v>
      </c>
      <c r="D231">
        <v>38</v>
      </c>
      <c r="E231" s="1">
        <v>94853.69</v>
      </c>
      <c r="F231" s="1">
        <v>173635.6</v>
      </c>
    </row>
    <row r="232" spans="1:6" x14ac:dyDescent="0.35">
      <c r="A232">
        <v>200349</v>
      </c>
      <c r="B232">
        <v>29</v>
      </c>
      <c r="C232" s="1">
        <v>91117.35</v>
      </c>
      <c r="D232">
        <v>31</v>
      </c>
      <c r="E232" s="1">
        <v>82510.06</v>
      </c>
      <c r="F232" s="1">
        <v>173627.41</v>
      </c>
    </row>
    <row r="233" spans="1:6" x14ac:dyDescent="0.35">
      <c r="A233">
        <v>200286</v>
      </c>
      <c r="B233">
        <v>38</v>
      </c>
      <c r="C233" s="1">
        <v>100597.73</v>
      </c>
      <c r="D233">
        <v>28</v>
      </c>
      <c r="E233" s="1">
        <v>73005.59</v>
      </c>
      <c r="F233" s="1">
        <v>173603.32</v>
      </c>
    </row>
    <row r="234" spans="1:6" x14ac:dyDescent="0.35">
      <c r="A234">
        <v>200556</v>
      </c>
      <c r="B234">
        <v>29</v>
      </c>
      <c r="C234" s="1">
        <v>86524.800000000003</v>
      </c>
      <c r="D234">
        <v>37</v>
      </c>
      <c r="E234" s="1">
        <v>87059.19</v>
      </c>
      <c r="F234" s="1">
        <v>173583.99</v>
      </c>
    </row>
    <row r="235" spans="1:6" x14ac:dyDescent="0.35">
      <c r="A235">
        <v>201211</v>
      </c>
      <c r="B235">
        <v>43</v>
      </c>
      <c r="C235" s="1">
        <v>107517.48</v>
      </c>
      <c r="D235">
        <v>24</v>
      </c>
      <c r="E235" s="1">
        <v>66023.320000000007</v>
      </c>
      <c r="F235" s="1">
        <v>173540.8</v>
      </c>
    </row>
    <row r="236" spans="1:6" x14ac:dyDescent="0.35">
      <c r="A236">
        <v>200221</v>
      </c>
      <c r="B236">
        <v>38</v>
      </c>
      <c r="C236" s="1">
        <v>91097.27</v>
      </c>
      <c r="D236">
        <v>32</v>
      </c>
      <c r="E236" s="1">
        <v>82404.42</v>
      </c>
      <c r="F236" s="1">
        <v>173501.69</v>
      </c>
    </row>
    <row r="237" spans="1:6" x14ac:dyDescent="0.35">
      <c r="A237">
        <v>200919</v>
      </c>
      <c r="B237">
        <v>32</v>
      </c>
      <c r="C237" s="1">
        <v>91090.75</v>
      </c>
      <c r="D237">
        <v>31</v>
      </c>
      <c r="E237" s="1">
        <v>82376.84</v>
      </c>
      <c r="F237" s="1">
        <v>173467.59</v>
      </c>
    </row>
    <row r="238" spans="1:6" x14ac:dyDescent="0.35">
      <c r="A238">
        <v>200839</v>
      </c>
      <c r="B238">
        <v>41</v>
      </c>
      <c r="C238" s="1">
        <v>105973.34</v>
      </c>
      <c r="D238">
        <v>25</v>
      </c>
      <c r="E238" s="1">
        <v>67433.990000000005</v>
      </c>
      <c r="F238" s="1">
        <v>173407.33</v>
      </c>
    </row>
    <row r="239" spans="1:6" x14ac:dyDescent="0.35">
      <c r="A239">
        <v>200695</v>
      </c>
      <c r="B239">
        <v>34</v>
      </c>
      <c r="C239" s="1">
        <v>80403.31</v>
      </c>
      <c r="D239">
        <v>36</v>
      </c>
      <c r="E239" s="1">
        <v>92959.17</v>
      </c>
      <c r="F239" s="1">
        <v>173362.47999999899</v>
      </c>
    </row>
    <row r="240" spans="1:6" x14ac:dyDescent="0.35">
      <c r="A240">
        <v>200912</v>
      </c>
      <c r="B240">
        <v>40</v>
      </c>
      <c r="C240" s="1">
        <v>101893.42</v>
      </c>
      <c r="D240">
        <v>29</v>
      </c>
      <c r="E240" s="1">
        <v>71456.44</v>
      </c>
      <c r="F240" s="1">
        <v>173349.86</v>
      </c>
    </row>
    <row r="241" spans="1:6" x14ac:dyDescent="0.35">
      <c r="A241">
        <v>200251</v>
      </c>
      <c r="B241">
        <v>38</v>
      </c>
      <c r="C241" s="1">
        <v>90087.45</v>
      </c>
      <c r="D241">
        <v>29</v>
      </c>
      <c r="E241" s="1">
        <v>83240.990000000005</v>
      </c>
      <c r="F241" s="1">
        <v>173328.44</v>
      </c>
    </row>
    <row r="242" spans="1:6" x14ac:dyDescent="0.35">
      <c r="A242">
        <v>200687</v>
      </c>
      <c r="B242">
        <v>39</v>
      </c>
      <c r="C242" s="1">
        <v>94182.49</v>
      </c>
      <c r="D242">
        <v>28</v>
      </c>
      <c r="E242" s="1">
        <v>78942</v>
      </c>
      <c r="F242" s="1">
        <v>173124.49</v>
      </c>
    </row>
    <row r="243" spans="1:6" x14ac:dyDescent="0.35">
      <c r="A243">
        <v>200625</v>
      </c>
      <c r="B243">
        <v>31</v>
      </c>
      <c r="C243" s="1">
        <v>81972.160000000003</v>
      </c>
      <c r="D243">
        <v>39</v>
      </c>
      <c r="E243" s="1">
        <v>91120.67</v>
      </c>
      <c r="F243" s="1">
        <v>173092.83</v>
      </c>
    </row>
    <row r="244" spans="1:6" x14ac:dyDescent="0.35">
      <c r="A244">
        <v>201396</v>
      </c>
      <c r="B244">
        <v>37</v>
      </c>
      <c r="C244" s="1">
        <v>91525.53</v>
      </c>
      <c r="D244">
        <v>30</v>
      </c>
      <c r="E244" s="1">
        <v>81511.27</v>
      </c>
      <c r="F244" s="1">
        <v>173036.79999999999</v>
      </c>
    </row>
    <row r="245" spans="1:6" x14ac:dyDescent="0.35">
      <c r="A245">
        <v>200308</v>
      </c>
      <c r="B245">
        <v>39</v>
      </c>
      <c r="C245" s="1">
        <v>81914.210000000006</v>
      </c>
      <c r="D245">
        <v>36</v>
      </c>
      <c r="E245" s="1">
        <v>91003.16</v>
      </c>
      <c r="F245" s="1">
        <v>172917.37</v>
      </c>
    </row>
    <row r="246" spans="1:6" x14ac:dyDescent="0.35">
      <c r="A246">
        <v>200229</v>
      </c>
      <c r="B246">
        <v>25</v>
      </c>
      <c r="C246" s="1">
        <v>69841.62</v>
      </c>
      <c r="D246">
        <v>39</v>
      </c>
      <c r="E246" s="1">
        <v>103061.52</v>
      </c>
      <c r="F246" s="1">
        <v>172903.14</v>
      </c>
    </row>
    <row r="247" spans="1:6" x14ac:dyDescent="0.35">
      <c r="A247">
        <v>200086</v>
      </c>
      <c r="B247">
        <v>29</v>
      </c>
      <c r="C247" s="1">
        <v>82524.789999999994</v>
      </c>
      <c r="D247">
        <v>42</v>
      </c>
      <c r="E247" s="1">
        <v>90375.27</v>
      </c>
      <c r="F247" s="1">
        <v>172900.06</v>
      </c>
    </row>
    <row r="248" spans="1:6" x14ac:dyDescent="0.35">
      <c r="A248">
        <v>200171</v>
      </c>
      <c r="B248">
        <v>35</v>
      </c>
      <c r="C248" s="1">
        <v>99099.33</v>
      </c>
      <c r="D248">
        <v>27</v>
      </c>
      <c r="E248" s="1">
        <v>73756.88</v>
      </c>
      <c r="F248" s="1">
        <v>172856.21</v>
      </c>
    </row>
    <row r="249" spans="1:6" x14ac:dyDescent="0.35">
      <c r="A249">
        <v>201616</v>
      </c>
      <c r="B249">
        <v>34</v>
      </c>
      <c r="C249" s="1">
        <v>91950.37</v>
      </c>
      <c r="D249">
        <v>31</v>
      </c>
      <c r="E249" s="1">
        <v>80889.02</v>
      </c>
      <c r="F249" s="1">
        <v>172839.39</v>
      </c>
    </row>
    <row r="250" spans="1:6" x14ac:dyDescent="0.35">
      <c r="A250">
        <v>200530</v>
      </c>
      <c r="B250">
        <v>32</v>
      </c>
      <c r="C250" s="1">
        <v>97554.94</v>
      </c>
      <c r="D250">
        <v>30</v>
      </c>
      <c r="E250" s="1">
        <v>75154.14</v>
      </c>
      <c r="F250" s="1">
        <v>172709.08</v>
      </c>
    </row>
    <row r="251" spans="1:6" x14ac:dyDescent="0.35">
      <c r="A251">
        <v>201006</v>
      </c>
      <c r="B251">
        <v>37</v>
      </c>
      <c r="C251" s="1">
        <v>99640.74</v>
      </c>
      <c r="D251">
        <v>24</v>
      </c>
      <c r="E251" s="1">
        <v>73057.679999999993</v>
      </c>
      <c r="F251" s="1">
        <v>172698.41999999899</v>
      </c>
    </row>
    <row r="252" spans="1:6" x14ac:dyDescent="0.35">
      <c r="A252">
        <v>201237</v>
      </c>
      <c r="B252">
        <v>32</v>
      </c>
      <c r="C252" s="1">
        <v>96376.41</v>
      </c>
      <c r="D252">
        <v>30</v>
      </c>
      <c r="E252" s="1">
        <v>76320.160000000003</v>
      </c>
      <c r="F252" s="1">
        <v>172696.57</v>
      </c>
    </row>
    <row r="253" spans="1:6" x14ac:dyDescent="0.35">
      <c r="A253">
        <v>201241</v>
      </c>
      <c r="B253">
        <v>36</v>
      </c>
      <c r="C253" s="1">
        <v>87495.83</v>
      </c>
      <c r="D253">
        <v>37</v>
      </c>
      <c r="E253" s="1">
        <v>85160.18</v>
      </c>
      <c r="F253" s="1">
        <v>172656.01</v>
      </c>
    </row>
    <row r="254" spans="1:6" x14ac:dyDescent="0.35">
      <c r="A254">
        <v>200023</v>
      </c>
      <c r="B254">
        <v>31</v>
      </c>
      <c r="C254" s="1">
        <v>86932.7</v>
      </c>
      <c r="D254">
        <v>32</v>
      </c>
      <c r="E254" s="1">
        <v>85614.96</v>
      </c>
      <c r="F254" s="1">
        <v>172547.66</v>
      </c>
    </row>
    <row r="255" spans="1:6" x14ac:dyDescent="0.35">
      <c r="A255">
        <v>201058</v>
      </c>
      <c r="B255">
        <v>29</v>
      </c>
      <c r="C255" s="1">
        <v>77766.11</v>
      </c>
      <c r="D255">
        <v>36</v>
      </c>
      <c r="E255" s="1">
        <v>94601.41</v>
      </c>
      <c r="F255" s="1">
        <v>172367.52</v>
      </c>
    </row>
    <row r="256" spans="1:6" x14ac:dyDescent="0.35">
      <c r="A256">
        <v>201466</v>
      </c>
      <c r="B256">
        <v>27</v>
      </c>
      <c r="C256" s="1">
        <v>77695.22</v>
      </c>
      <c r="D256">
        <v>36</v>
      </c>
      <c r="E256" s="1">
        <v>94618.26</v>
      </c>
      <c r="F256" s="1">
        <v>172313.47999999899</v>
      </c>
    </row>
    <row r="257" spans="1:6" x14ac:dyDescent="0.35">
      <c r="A257">
        <v>200048</v>
      </c>
      <c r="B257">
        <v>35</v>
      </c>
      <c r="C257" s="1">
        <v>87385.95</v>
      </c>
      <c r="D257">
        <v>31</v>
      </c>
      <c r="E257" s="1">
        <v>84763.6</v>
      </c>
      <c r="F257" s="1">
        <v>172149.55</v>
      </c>
    </row>
    <row r="258" spans="1:6" x14ac:dyDescent="0.35">
      <c r="A258">
        <v>200020</v>
      </c>
      <c r="B258">
        <v>33</v>
      </c>
      <c r="C258" s="1">
        <v>77542.179999999993</v>
      </c>
      <c r="D258">
        <v>38</v>
      </c>
      <c r="E258" s="1">
        <v>94589.6</v>
      </c>
      <c r="F258" s="1">
        <v>172131.78</v>
      </c>
    </row>
    <row r="259" spans="1:6" x14ac:dyDescent="0.35">
      <c r="A259">
        <v>200652</v>
      </c>
      <c r="B259">
        <v>37</v>
      </c>
      <c r="C259" s="1">
        <v>99825.91</v>
      </c>
      <c r="D259">
        <v>32</v>
      </c>
      <c r="E259" s="1">
        <v>72288.179999999993</v>
      </c>
      <c r="F259" s="1">
        <v>172114.09</v>
      </c>
    </row>
    <row r="260" spans="1:6" x14ac:dyDescent="0.35">
      <c r="A260">
        <v>201239</v>
      </c>
      <c r="B260">
        <v>33</v>
      </c>
      <c r="C260" s="1">
        <v>81967.259999999995</v>
      </c>
      <c r="D260">
        <v>36</v>
      </c>
      <c r="E260" s="1">
        <v>90129.32</v>
      </c>
      <c r="F260" s="1">
        <v>172096.58</v>
      </c>
    </row>
    <row r="261" spans="1:6" x14ac:dyDescent="0.35">
      <c r="A261">
        <v>200189</v>
      </c>
      <c r="B261">
        <v>28</v>
      </c>
      <c r="C261" s="1">
        <v>63674.96</v>
      </c>
      <c r="D261">
        <v>40</v>
      </c>
      <c r="E261" s="1">
        <v>108380.61</v>
      </c>
      <c r="F261" s="1">
        <v>172055.57</v>
      </c>
    </row>
    <row r="262" spans="1:6" x14ac:dyDescent="0.35">
      <c r="A262">
        <v>201403</v>
      </c>
      <c r="B262">
        <v>39</v>
      </c>
      <c r="C262" s="1">
        <v>101682.25</v>
      </c>
      <c r="D262">
        <v>31</v>
      </c>
      <c r="E262" s="1">
        <v>70128.55</v>
      </c>
      <c r="F262" s="1">
        <v>171810.8</v>
      </c>
    </row>
    <row r="263" spans="1:6" x14ac:dyDescent="0.35">
      <c r="A263">
        <v>200233</v>
      </c>
      <c r="B263">
        <v>32</v>
      </c>
      <c r="C263" s="1">
        <v>84031.6</v>
      </c>
      <c r="D263">
        <v>33</v>
      </c>
      <c r="E263" s="1">
        <v>87726.9</v>
      </c>
      <c r="F263" s="1">
        <v>171758.5</v>
      </c>
    </row>
    <row r="264" spans="1:6" x14ac:dyDescent="0.35">
      <c r="A264">
        <v>200683</v>
      </c>
      <c r="B264">
        <v>39</v>
      </c>
      <c r="C264" s="1">
        <v>91901.37</v>
      </c>
      <c r="D264">
        <v>27</v>
      </c>
      <c r="E264" s="1">
        <v>79853.600000000006</v>
      </c>
      <c r="F264" s="1">
        <v>171754.97</v>
      </c>
    </row>
    <row r="265" spans="1:6" x14ac:dyDescent="0.35">
      <c r="A265">
        <v>200481</v>
      </c>
      <c r="B265">
        <v>30</v>
      </c>
      <c r="C265" s="1">
        <v>77768.78</v>
      </c>
      <c r="D265">
        <v>33</v>
      </c>
      <c r="E265" s="1">
        <v>93968.15</v>
      </c>
      <c r="F265" s="1">
        <v>171736.93</v>
      </c>
    </row>
    <row r="266" spans="1:6" x14ac:dyDescent="0.35">
      <c r="A266">
        <v>200744</v>
      </c>
      <c r="B266">
        <v>37</v>
      </c>
      <c r="C266" s="1">
        <v>94757.46</v>
      </c>
      <c r="D266">
        <v>28</v>
      </c>
      <c r="E266" s="1">
        <v>76943.95</v>
      </c>
      <c r="F266" s="1">
        <v>171701.41</v>
      </c>
    </row>
    <row r="267" spans="1:6" x14ac:dyDescent="0.35">
      <c r="A267">
        <v>200604</v>
      </c>
      <c r="B267">
        <v>29</v>
      </c>
      <c r="C267" s="1">
        <v>67483.23</v>
      </c>
      <c r="D267">
        <v>42</v>
      </c>
      <c r="E267" s="1">
        <v>104214.93</v>
      </c>
      <c r="F267" s="1">
        <v>171698.15999999901</v>
      </c>
    </row>
    <row r="268" spans="1:6" x14ac:dyDescent="0.35">
      <c r="A268">
        <v>201451</v>
      </c>
      <c r="B268">
        <v>33</v>
      </c>
      <c r="C268" s="1">
        <v>84177.46</v>
      </c>
      <c r="D268">
        <v>37</v>
      </c>
      <c r="E268" s="1">
        <v>87305.46</v>
      </c>
      <c r="F268" s="1">
        <v>171482.92</v>
      </c>
    </row>
    <row r="269" spans="1:6" x14ac:dyDescent="0.35">
      <c r="A269">
        <v>200063</v>
      </c>
      <c r="B269">
        <v>34</v>
      </c>
      <c r="C269" s="1">
        <v>87203.17</v>
      </c>
      <c r="D269">
        <v>34</v>
      </c>
      <c r="E269" s="1">
        <v>84182.67</v>
      </c>
      <c r="F269" s="1">
        <v>171385.84</v>
      </c>
    </row>
    <row r="270" spans="1:6" x14ac:dyDescent="0.35">
      <c r="A270">
        <v>201404</v>
      </c>
      <c r="B270">
        <v>38</v>
      </c>
      <c r="C270" s="1">
        <v>101854.97</v>
      </c>
      <c r="D270">
        <v>25</v>
      </c>
      <c r="E270" s="1">
        <v>69485.17</v>
      </c>
      <c r="F270" s="1">
        <v>171340.14</v>
      </c>
    </row>
    <row r="271" spans="1:6" x14ac:dyDescent="0.35">
      <c r="A271">
        <v>201059</v>
      </c>
      <c r="B271">
        <v>34</v>
      </c>
      <c r="C271" s="1">
        <v>76043.87</v>
      </c>
      <c r="D271">
        <v>37</v>
      </c>
      <c r="E271" s="1">
        <v>95289.19</v>
      </c>
      <c r="F271" s="1">
        <v>171333.06</v>
      </c>
    </row>
    <row r="272" spans="1:6" x14ac:dyDescent="0.35">
      <c r="A272">
        <v>200293</v>
      </c>
      <c r="B272">
        <v>30</v>
      </c>
      <c r="C272" s="1">
        <v>79815.820000000007</v>
      </c>
      <c r="D272">
        <v>32</v>
      </c>
      <c r="E272" s="1">
        <v>91505.69</v>
      </c>
      <c r="F272" s="1">
        <v>171321.51</v>
      </c>
    </row>
    <row r="273" spans="1:6" x14ac:dyDescent="0.35">
      <c r="A273">
        <v>200228</v>
      </c>
      <c r="B273">
        <v>29</v>
      </c>
      <c r="C273" s="1">
        <v>70034.05</v>
      </c>
      <c r="D273">
        <v>39</v>
      </c>
      <c r="E273" s="1">
        <v>101274.48</v>
      </c>
      <c r="F273" s="1">
        <v>171308.53</v>
      </c>
    </row>
    <row r="274" spans="1:6" x14ac:dyDescent="0.35">
      <c r="A274">
        <v>200220</v>
      </c>
      <c r="B274">
        <v>27</v>
      </c>
      <c r="C274" s="1">
        <v>66494.97</v>
      </c>
      <c r="D274">
        <v>36</v>
      </c>
      <c r="E274" s="1">
        <v>104731.96</v>
      </c>
      <c r="F274" s="1">
        <v>171226.93</v>
      </c>
    </row>
    <row r="275" spans="1:6" x14ac:dyDescent="0.35">
      <c r="A275">
        <v>200451</v>
      </c>
      <c r="B275">
        <v>32</v>
      </c>
      <c r="C275" s="1">
        <v>70079.34</v>
      </c>
      <c r="D275">
        <v>39</v>
      </c>
      <c r="E275" s="1">
        <v>101019.84</v>
      </c>
      <c r="F275" s="1">
        <v>171099.18</v>
      </c>
    </row>
    <row r="276" spans="1:6" x14ac:dyDescent="0.35">
      <c r="A276">
        <v>200950</v>
      </c>
      <c r="B276">
        <v>37</v>
      </c>
      <c r="C276" s="1">
        <v>110649.3</v>
      </c>
      <c r="D276">
        <v>23</v>
      </c>
      <c r="E276" s="1">
        <v>60371.35</v>
      </c>
      <c r="F276" s="1">
        <v>171020.65</v>
      </c>
    </row>
    <row r="277" spans="1:6" x14ac:dyDescent="0.35">
      <c r="A277">
        <v>200777</v>
      </c>
      <c r="B277">
        <v>30</v>
      </c>
      <c r="C277" s="1">
        <v>81090.559999999998</v>
      </c>
      <c r="D277">
        <v>35</v>
      </c>
      <c r="E277" s="1">
        <v>89645.13</v>
      </c>
      <c r="F277" s="1">
        <v>170735.69</v>
      </c>
    </row>
    <row r="278" spans="1:6" x14ac:dyDescent="0.35">
      <c r="A278">
        <v>201141</v>
      </c>
      <c r="B278">
        <v>41</v>
      </c>
      <c r="C278" s="1">
        <v>102929.13</v>
      </c>
      <c r="D278">
        <v>26</v>
      </c>
      <c r="E278" s="1">
        <v>67693.87</v>
      </c>
      <c r="F278" s="1">
        <v>170623</v>
      </c>
    </row>
    <row r="279" spans="1:6" x14ac:dyDescent="0.35">
      <c r="A279">
        <v>201621</v>
      </c>
      <c r="B279">
        <v>29</v>
      </c>
      <c r="C279" s="1">
        <v>65880.69</v>
      </c>
      <c r="D279">
        <v>40</v>
      </c>
      <c r="E279" s="1">
        <v>104540.34</v>
      </c>
      <c r="F279" s="1">
        <v>170421.03</v>
      </c>
    </row>
    <row r="280" spans="1:6" x14ac:dyDescent="0.35">
      <c r="A280">
        <v>200780</v>
      </c>
      <c r="B280">
        <v>37</v>
      </c>
      <c r="C280" s="1">
        <v>87255.19</v>
      </c>
      <c r="D280">
        <v>29</v>
      </c>
      <c r="E280" s="1">
        <v>83076.61</v>
      </c>
      <c r="F280" s="1">
        <v>170331.8</v>
      </c>
    </row>
    <row r="281" spans="1:6" x14ac:dyDescent="0.35">
      <c r="A281">
        <v>200511</v>
      </c>
      <c r="B281">
        <v>28</v>
      </c>
      <c r="C281" s="1">
        <v>64436.59</v>
      </c>
      <c r="D281">
        <v>39</v>
      </c>
      <c r="E281" s="1">
        <v>105867.71</v>
      </c>
      <c r="F281" s="1">
        <v>170304.3</v>
      </c>
    </row>
    <row r="282" spans="1:6" x14ac:dyDescent="0.35">
      <c r="A282">
        <v>200709</v>
      </c>
      <c r="B282">
        <v>33</v>
      </c>
      <c r="C282" s="1">
        <v>84963.41</v>
      </c>
      <c r="D282">
        <v>31</v>
      </c>
      <c r="E282" s="1">
        <v>85292.62</v>
      </c>
      <c r="F282" s="1">
        <v>170256.03</v>
      </c>
    </row>
    <row r="283" spans="1:6" x14ac:dyDescent="0.35">
      <c r="A283">
        <v>200217</v>
      </c>
      <c r="B283">
        <v>31</v>
      </c>
      <c r="C283" s="1">
        <v>75940.350000000006</v>
      </c>
      <c r="D283">
        <v>31</v>
      </c>
      <c r="E283" s="1">
        <v>94144.25</v>
      </c>
      <c r="F283" s="1">
        <v>170084.6</v>
      </c>
    </row>
    <row r="284" spans="1:6" x14ac:dyDescent="0.35">
      <c r="A284">
        <v>200144</v>
      </c>
      <c r="B284">
        <v>29</v>
      </c>
      <c r="C284" s="1">
        <v>84171.31</v>
      </c>
      <c r="D284">
        <v>34</v>
      </c>
      <c r="E284" s="1">
        <v>85805.15</v>
      </c>
      <c r="F284" s="1">
        <v>169976.46</v>
      </c>
    </row>
    <row r="285" spans="1:6" x14ac:dyDescent="0.35">
      <c r="A285">
        <v>201032</v>
      </c>
      <c r="B285">
        <v>35</v>
      </c>
      <c r="C285" s="1">
        <v>98154.25</v>
      </c>
      <c r="D285">
        <v>33</v>
      </c>
      <c r="E285" s="1">
        <v>71782.42</v>
      </c>
      <c r="F285" s="1">
        <v>169936.66999999899</v>
      </c>
    </row>
    <row r="286" spans="1:6" x14ac:dyDescent="0.35">
      <c r="A286">
        <v>201534</v>
      </c>
      <c r="B286">
        <v>33</v>
      </c>
      <c r="C286" s="1">
        <v>83923.02</v>
      </c>
      <c r="D286">
        <v>33</v>
      </c>
      <c r="E286" s="1">
        <v>86005.03</v>
      </c>
      <c r="F286" s="1">
        <v>169928.05</v>
      </c>
    </row>
    <row r="287" spans="1:6" x14ac:dyDescent="0.35">
      <c r="A287">
        <v>200786</v>
      </c>
      <c r="B287">
        <v>35</v>
      </c>
      <c r="C287" s="1">
        <v>83455.62</v>
      </c>
      <c r="D287">
        <v>33</v>
      </c>
      <c r="E287" s="1">
        <v>86420.44</v>
      </c>
      <c r="F287" s="1">
        <v>169876.06</v>
      </c>
    </row>
    <row r="288" spans="1:6" x14ac:dyDescent="0.35">
      <c r="A288">
        <v>201296</v>
      </c>
      <c r="B288">
        <v>33</v>
      </c>
      <c r="C288" s="1">
        <v>82898.789999999994</v>
      </c>
      <c r="D288">
        <v>30</v>
      </c>
      <c r="E288" s="1">
        <v>86950.07</v>
      </c>
      <c r="F288" s="1">
        <v>169848.86</v>
      </c>
    </row>
    <row r="289" spans="1:6" x14ac:dyDescent="0.35">
      <c r="A289">
        <v>200205</v>
      </c>
      <c r="B289">
        <v>33</v>
      </c>
      <c r="C289" s="1">
        <v>83309</v>
      </c>
      <c r="D289">
        <v>31</v>
      </c>
      <c r="E289" s="1">
        <v>86519.48</v>
      </c>
      <c r="F289" s="1">
        <v>169828.47999999899</v>
      </c>
    </row>
    <row r="290" spans="1:6" x14ac:dyDescent="0.35">
      <c r="A290">
        <v>201635</v>
      </c>
      <c r="B290">
        <v>32</v>
      </c>
      <c r="C290" s="1">
        <v>91384.09</v>
      </c>
      <c r="D290">
        <v>31</v>
      </c>
      <c r="E290" s="1">
        <v>78411.149999999994</v>
      </c>
      <c r="F290" s="1">
        <v>169795.24</v>
      </c>
    </row>
    <row r="291" spans="1:6" x14ac:dyDescent="0.35">
      <c r="A291">
        <v>200121</v>
      </c>
      <c r="B291">
        <v>32</v>
      </c>
      <c r="C291" s="1">
        <v>68579.990000000005</v>
      </c>
      <c r="D291">
        <v>36</v>
      </c>
      <c r="E291" s="1">
        <v>101071.57</v>
      </c>
      <c r="F291" s="1">
        <v>169651.56</v>
      </c>
    </row>
    <row r="292" spans="1:6" x14ac:dyDescent="0.35">
      <c r="A292">
        <v>200719</v>
      </c>
      <c r="B292">
        <v>35</v>
      </c>
      <c r="C292" s="1">
        <v>89986.27</v>
      </c>
      <c r="D292">
        <v>30</v>
      </c>
      <c r="E292" s="1">
        <v>79597.72</v>
      </c>
      <c r="F292" s="1">
        <v>169583.99</v>
      </c>
    </row>
    <row r="293" spans="1:6" x14ac:dyDescent="0.35">
      <c r="A293">
        <v>200124</v>
      </c>
      <c r="B293">
        <v>29</v>
      </c>
      <c r="C293" s="1">
        <v>82436.02</v>
      </c>
      <c r="D293">
        <v>31</v>
      </c>
      <c r="E293" s="1">
        <v>87083.73</v>
      </c>
      <c r="F293" s="1">
        <v>169519.75</v>
      </c>
    </row>
    <row r="294" spans="1:6" x14ac:dyDescent="0.35">
      <c r="A294">
        <v>201464</v>
      </c>
      <c r="B294">
        <v>35</v>
      </c>
      <c r="C294" s="1">
        <v>97469.37</v>
      </c>
      <c r="D294">
        <v>32</v>
      </c>
      <c r="E294" s="1">
        <v>71997.69</v>
      </c>
      <c r="F294" s="1">
        <v>169467.06</v>
      </c>
    </row>
    <row r="295" spans="1:6" x14ac:dyDescent="0.35">
      <c r="A295">
        <v>200150</v>
      </c>
      <c r="B295">
        <v>41</v>
      </c>
      <c r="C295" s="1">
        <v>118682.16</v>
      </c>
      <c r="D295">
        <v>21</v>
      </c>
      <c r="E295" s="1">
        <v>50762.67</v>
      </c>
      <c r="F295" s="1">
        <v>169444.83</v>
      </c>
    </row>
    <row r="296" spans="1:6" x14ac:dyDescent="0.35">
      <c r="A296">
        <v>200270</v>
      </c>
      <c r="B296">
        <v>39</v>
      </c>
      <c r="C296" s="1">
        <v>95005.13</v>
      </c>
      <c r="D296">
        <v>28</v>
      </c>
      <c r="E296" s="1">
        <v>74398.45</v>
      </c>
      <c r="F296" s="1">
        <v>169403.58</v>
      </c>
    </row>
    <row r="297" spans="1:6" x14ac:dyDescent="0.35">
      <c r="A297">
        <v>201290</v>
      </c>
      <c r="B297">
        <v>34</v>
      </c>
      <c r="C297" s="1">
        <v>89228.479999999996</v>
      </c>
      <c r="D297">
        <v>31</v>
      </c>
      <c r="E297" s="1">
        <v>80139.8</v>
      </c>
      <c r="F297" s="1">
        <v>169368.28</v>
      </c>
    </row>
    <row r="298" spans="1:6" x14ac:dyDescent="0.35">
      <c r="A298">
        <v>200288</v>
      </c>
      <c r="B298">
        <v>42</v>
      </c>
      <c r="C298" s="1">
        <v>93187.23</v>
      </c>
      <c r="D298">
        <v>33</v>
      </c>
      <c r="E298" s="1">
        <v>76149.740000000005</v>
      </c>
      <c r="F298" s="1">
        <v>169336.97</v>
      </c>
    </row>
    <row r="299" spans="1:6" x14ac:dyDescent="0.35">
      <c r="A299">
        <v>201524</v>
      </c>
      <c r="B299">
        <v>35</v>
      </c>
      <c r="C299" s="1">
        <v>89579.51</v>
      </c>
      <c r="D299">
        <v>31</v>
      </c>
      <c r="E299" s="1">
        <v>79696.960000000006</v>
      </c>
      <c r="F299" s="1">
        <v>169276.47</v>
      </c>
    </row>
    <row r="300" spans="1:6" x14ac:dyDescent="0.35">
      <c r="A300">
        <v>200074</v>
      </c>
      <c r="B300">
        <v>39</v>
      </c>
      <c r="C300" s="1">
        <v>98374</v>
      </c>
      <c r="D300">
        <v>25</v>
      </c>
      <c r="E300" s="1">
        <v>70818.100000000006</v>
      </c>
      <c r="F300" s="1">
        <v>169192.1</v>
      </c>
    </row>
    <row r="301" spans="1:6" x14ac:dyDescent="0.35">
      <c r="A301">
        <v>200981</v>
      </c>
      <c r="B301">
        <v>27</v>
      </c>
      <c r="C301" s="1">
        <v>72849.14</v>
      </c>
      <c r="D301">
        <v>35</v>
      </c>
      <c r="E301" s="1">
        <v>96331.99</v>
      </c>
      <c r="F301" s="1">
        <v>169181.13</v>
      </c>
    </row>
    <row r="302" spans="1:6" x14ac:dyDescent="0.35">
      <c r="A302">
        <v>201035</v>
      </c>
      <c r="B302">
        <v>32</v>
      </c>
      <c r="C302" s="1">
        <v>82894.350000000006</v>
      </c>
      <c r="D302">
        <v>32</v>
      </c>
      <c r="E302" s="1">
        <v>86262.54</v>
      </c>
      <c r="F302" s="1">
        <v>169156.89</v>
      </c>
    </row>
    <row r="303" spans="1:6" x14ac:dyDescent="0.35">
      <c r="A303">
        <v>200276</v>
      </c>
      <c r="B303">
        <v>31</v>
      </c>
      <c r="C303" s="1">
        <v>83899.05</v>
      </c>
      <c r="D303">
        <v>32</v>
      </c>
      <c r="E303" s="1">
        <v>85085.48</v>
      </c>
      <c r="F303" s="1">
        <v>168984.53</v>
      </c>
    </row>
    <row r="304" spans="1:6" x14ac:dyDescent="0.35">
      <c r="A304">
        <v>201350</v>
      </c>
      <c r="B304">
        <v>30</v>
      </c>
      <c r="C304" s="1">
        <v>68829.95</v>
      </c>
      <c r="D304">
        <v>36</v>
      </c>
      <c r="E304" s="1">
        <v>100148.11</v>
      </c>
      <c r="F304" s="1">
        <v>168978.06</v>
      </c>
    </row>
    <row r="305" spans="1:6" x14ac:dyDescent="0.35">
      <c r="A305">
        <v>200599</v>
      </c>
      <c r="B305">
        <v>33</v>
      </c>
      <c r="C305" s="1">
        <v>84859.27</v>
      </c>
      <c r="D305">
        <v>35</v>
      </c>
      <c r="E305" s="1">
        <v>84111.51</v>
      </c>
      <c r="F305" s="1">
        <v>168970.78</v>
      </c>
    </row>
    <row r="306" spans="1:6" x14ac:dyDescent="0.35">
      <c r="A306">
        <v>200611</v>
      </c>
      <c r="B306">
        <v>40</v>
      </c>
      <c r="C306" s="1">
        <v>97104.77</v>
      </c>
      <c r="D306">
        <v>35</v>
      </c>
      <c r="E306" s="1">
        <v>71786.240000000005</v>
      </c>
      <c r="F306" s="1">
        <v>168891.01</v>
      </c>
    </row>
    <row r="307" spans="1:6" x14ac:dyDescent="0.35">
      <c r="A307">
        <v>201263</v>
      </c>
      <c r="B307">
        <v>31</v>
      </c>
      <c r="C307" s="1">
        <v>74329.83</v>
      </c>
      <c r="D307">
        <v>32</v>
      </c>
      <c r="E307" s="1">
        <v>94529.56</v>
      </c>
      <c r="F307" s="1">
        <v>168859.39</v>
      </c>
    </row>
    <row r="308" spans="1:6" x14ac:dyDescent="0.35">
      <c r="A308">
        <v>200626</v>
      </c>
      <c r="B308">
        <v>32</v>
      </c>
      <c r="C308" s="1">
        <v>84480.58</v>
      </c>
      <c r="D308">
        <v>29</v>
      </c>
      <c r="E308" s="1">
        <v>84291.19</v>
      </c>
      <c r="F308" s="1">
        <v>168771.77</v>
      </c>
    </row>
    <row r="309" spans="1:6" x14ac:dyDescent="0.35">
      <c r="A309">
        <v>201174</v>
      </c>
      <c r="B309">
        <v>24</v>
      </c>
      <c r="C309" s="1">
        <v>56579.61</v>
      </c>
      <c r="D309">
        <v>42</v>
      </c>
      <c r="E309" s="1">
        <v>112022.39999999999</v>
      </c>
      <c r="F309" s="1">
        <v>168602.01</v>
      </c>
    </row>
    <row r="310" spans="1:6" x14ac:dyDescent="0.35">
      <c r="A310">
        <v>201292</v>
      </c>
      <c r="B310">
        <v>23</v>
      </c>
      <c r="C310" s="1">
        <v>64244.82</v>
      </c>
      <c r="D310">
        <v>47</v>
      </c>
      <c r="E310" s="1">
        <v>104321.02</v>
      </c>
      <c r="F310" s="1">
        <v>168565.84</v>
      </c>
    </row>
    <row r="311" spans="1:6" x14ac:dyDescent="0.35">
      <c r="A311">
        <v>200212</v>
      </c>
      <c r="B311">
        <v>38</v>
      </c>
      <c r="C311" s="1">
        <v>86210.86</v>
      </c>
      <c r="D311">
        <v>38</v>
      </c>
      <c r="E311" s="1">
        <v>82306.12</v>
      </c>
      <c r="F311" s="1">
        <v>168516.97999999899</v>
      </c>
    </row>
    <row r="312" spans="1:6" x14ac:dyDescent="0.35">
      <c r="A312">
        <v>201157</v>
      </c>
      <c r="B312">
        <v>31</v>
      </c>
      <c r="C312" s="1">
        <v>79576.38</v>
      </c>
      <c r="D312">
        <v>31</v>
      </c>
      <c r="E312" s="1">
        <v>88845.84</v>
      </c>
      <c r="F312" s="1">
        <v>168422.22</v>
      </c>
    </row>
    <row r="313" spans="1:6" x14ac:dyDescent="0.35">
      <c r="A313">
        <v>201455</v>
      </c>
      <c r="B313">
        <v>34</v>
      </c>
      <c r="C313" s="1">
        <v>87071.08</v>
      </c>
      <c r="D313">
        <v>37</v>
      </c>
      <c r="E313" s="1">
        <v>81280.240000000005</v>
      </c>
      <c r="F313" s="1">
        <v>168351.32</v>
      </c>
    </row>
    <row r="314" spans="1:6" x14ac:dyDescent="0.35">
      <c r="A314">
        <v>201271</v>
      </c>
      <c r="B314">
        <v>32</v>
      </c>
      <c r="C314" s="1">
        <v>93761.23</v>
      </c>
      <c r="D314">
        <v>25</v>
      </c>
      <c r="E314" s="1">
        <v>74511.42</v>
      </c>
      <c r="F314" s="1">
        <v>168272.65</v>
      </c>
    </row>
    <row r="315" spans="1:6" x14ac:dyDescent="0.35">
      <c r="A315">
        <v>201432</v>
      </c>
      <c r="B315">
        <v>28</v>
      </c>
      <c r="C315" s="1">
        <v>72414.98</v>
      </c>
      <c r="D315">
        <v>32</v>
      </c>
      <c r="E315" s="1">
        <v>95849.27</v>
      </c>
      <c r="F315" s="1">
        <v>168264.25</v>
      </c>
    </row>
    <row r="316" spans="1:6" x14ac:dyDescent="0.35">
      <c r="A316">
        <v>200657</v>
      </c>
      <c r="B316">
        <v>39</v>
      </c>
      <c r="C316" s="1">
        <v>101328.94</v>
      </c>
      <c r="D316">
        <v>28</v>
      </c>
      <c r="E316" s="1">
        <v>66894.19</v>
      </c>
      <c r="F316" s="1">
        <v>168223.13</v>
      </c>
    </row>
    <row r="317" spans="1:6" x14ac:dyDescent="0.35">
      <c r="A317">
        <v>200632</v>
      </c>
      <c r="B317">
        <v>35</v>
      </c>
      <c r="C317" s="1">
        <v>87551.43</v>
      </c>
      <c r="D317">
        <v>34</v>
      </c>
      <c r="E317" s="1">
        <v>80665.279999999999</v>
      </c>
      <c r="F317" s="1">
        <v>168216.71</v>
      </c>
    </row>
    <row r="318" spans="1:6" x14ac:dyDescent="0.35">
      <c r="A318">
        <v>200457</v>
      </c>
      <c r="B318">
        <v>29</v>
      </c>
      <c r="C318" s="1">
        <v>66912.97</v>
      </c>
      <c r="D318">
        <v>39</v>
      </c>
      <c r="E318" s="1">
        <v>101237.72</v>
      </c>
      <c r="F318" s="1">
        <v>168150.69</v>
      </c>
    </row>
    <row r="319" spans="1:6" x14ac:dyDescent="0.35">
      <c r="A319">
        <v>200665</v>
      </c>
      <c r="B319">
        <v>28</v>
      </c>
      <c r="C319" s="1">
        <v>82761.279999999999</v>
      </c>
      <c r="D319">
        <v>38</v>
      </c>
      <c r="E319" s="1">
        <v>85358.9</v>
      </c>
      <c r="F319" s="1">
        <v>168120.18</v>
      </c>
    </row>
    <row r="320" spans="1:6" x14ac:dyDescent="0.35">
      <c r="A320">
        <v>201107</v>
      </c>
      <c r="B320">
        <v>30</v>
      </c>
      <c r="C320" s="1">
        <v>85348.41</v>
      </c>
      <c r="D320">
        <v>31</v>
      </c>
      <c r="E320" s="1">
        <v>82615.34</v>
      </c>
      <c r="F320" s="1">
        <v>167963.75</v>
      </c>
    </row>
    <row r="321" spans="1:6" x14ac:dyDescent="0.35">
      <c r="A321">
        <v>200377</v>
      </c>
      <c r="B321">
        <v>33</v>
      </c>
      <c r="C321" s="1">
        <v>67601.08</v>
      </c>
      <c r="D321">
        <v>36</v>
      </c>
      <c r="E321" s="1">
        <v>100312.56</v>
      </c>
      <c r="F321" s="1">
        <v>167913.64</v>
      </c>
    </row>
    <row r="322" spans="1:6" x14ac:dyDescent="0.35">
      <c r="A322">
        <v>200467</v>
      </c>
      <c r="B322">
        <v>28</v>
      </c>
      <c r="C322" s="1">
        <v>76670.259999999995</v>
      </c>
      <c r="D322">
        <v>34</v>
      </c>
      <c r="E322" s="1">
        <v>91235.81</v>
      </c>
      <c r="F322" s="1">
        <v>167906.07</v>
      </c>
    </row>
    <row r="323" spans="1:6" x14ac:dyDescent="0.35">
      <c r="A323">
        <v>200927</v>
      </c>
      <c r="B323">
        <v>32</v>
      </c>
      <c r="C323" s="1">
        <v>86692.2</v>
      </c>
      <c r="D323">
        <v>33</v>
      </c>
      <c r="E323" s="1">
        <v>81183.649999999994</v>
      </c>
      <c r="F323" s="1">
        <v>167875.84999999899</v>
      </c>
    </row>
    <row r="324" spans="1:6" x14ac:dyDescent="0.35">
      <c r="A324">
        <v>201555</v>
      </c>
      <c r="B324">
        <v>31</v>
      </c>
      <c r="C324" s="1">
        <v>90549.15</v>
      </c>
      <c r="D324">
        <v>31</v>
      </c>
      <c r="E324" s="1">
        <v>77317.88</v>
      </c>
      <c r="F324" s="1">
        <v>167867.03</v>
      </c>
    </row>
    <row r="325" spans="1:6" x14ac:dyDescent="0.35">
      <c r="A325">
        <v>200320</v>
      </c>
      <c r="B325">
        <v>31</v>
      </c>
      <c r="C325" s="1">
        <v>65964.81</v>
      </c>
      <c r="D325">
        <v>38</v>
      </c>
      <c r="E325" s="1">
        <v>101877.86</v>
      </c>
      <c r="F325" s="1">
        <v>167842.66999999899</v>
      </c>
    </row>
    <row r="326" spans="1:6" x14ac:dyDescent="0.35">
      <c r="A326">
        <v>201213</v>
      </c>
      <c r="B326">
        <v>27</v>
      </c>
      <c r="C326" s="1">
        <v>75956.94</v>
      </c>
      <c r="D326">
        <v>35</v>
      </c>
      <c r="E326" s="1">
        <v>91873.06</v>
      </c>
      <c r="F326" s="1">
        <v>167830</v>
      </c>
    </row>
    <row r="327" spans="1:6" x14ac:dyDescent="0.35">
      <c r="A327">
        <v>201152</v>
      </c>
      <c r="B327">
        <v>32</v>
      </c>
      <c r="C327" s="1">
        <v>78153.14</v>
      </c>
      <c r="D327">
        <v>34</v>
      </c>
      <c r="E327" s="1">
        <v>89606.13</v>
      </c>
      <c r="F327" s="1">
        <v>167759.26999999999</v>
      </c>
    </row>
    <row r="328" spans="1:6" x14ac:dyDescent="0.35">
      <c r="A328">
        <v>200107</v>
      </c>
      <c r="B328">
        <v>31</v>
      </c>
      <c r="C328" s="1">
        <v>77575.759999999995</v>
      </c>
      <c r="D328">
        <v>36</v>
      </c>
      <c r="E328" s="1">
        <v>90147.85</v>
      </c>
      <c r="F328" s="1">
        <v>167723.60999999999</v>
      </c>
    </row>
    <row r="329" spans="1:6" x14ac:dyDescent="0.35">
      <c r="A329">
        <v>200536</v>
      </c>
      <c r="B329">
        <v>39</v>
      </c>
      <c r="C329" s="1">
        <v>93208.68</v>
      </c>
      <c r="D329">
        <v>29</v>
      </c>
      <c r="E329" s="1">
        <v>74508.02</v>
      </c>
      <c r="F329" s="1">
        <v>167716.70000000001</v>
      </c>
    </row>
    <row r="330" spans="1:6" x14ac:dyDescent="0.35">
      <c r="A330">
        <v>201140</v>
      </c>
      <c r="B330">
        <v>32</v>
      </c>
      <c r="C330" s="1">
        <v>89070.48</v>
      </c>
      <c r="D330">
        <v>32</v>
      </c>
      <c r="E330" s="1">
        <v>78601.539999999994</v>
      </c>
      <c r="F330" s="1">
        <v>167672.01999999999</v>
      </c>
    </row>
    <row r="331" spans="1:6" x14ac:dyDescent="0.35">
      <c r="A331">
        <v>200610</v>
      </c>
      <c r="B331">
        <v>33</v>
      </c>
      <c r="C331" s="1">
        <v>78805.009999999995</v>
      </c>
      <c r="D331">
        <v>30</v>
      </c>
      <c r="E331" s="1">
        <v>88812.62</v>
      </c>
      <c r="F331" s="1">
        <v>167617.63</v>
      </c>
    </row>
    <row r="332" spans="1:6" x14ac:dyDescent="0.35">
      <c r="A332">
        <v>201470</v>
      </c>
      <c r="B332">
        <v>34</v>
      </c>
      <c r="C332" s="1">
        <v>96520.33</v>
      </c>
      <c r="D332">
        <v>27</v>
      </c>
      <c r="E332" s="1">
        <v>71096.509999999995</v>
      </c>
      <c r="F332" s="1">
        <v>167616.84</v>
      </c>
    </row>
    <row r="333" spans="1:6" x14ac:dyDescent="0.35">
      <c r="A333">
        <v>200725</v>
      </c>
      <c r="B333">
        <v>36</v>
      </c>
      <c r="C333" s="1">
        <v>89685.17</v>
      </c>
      <c r="D333">
        <v>36</v>
      </c>
      <c r="E333" s="1">
        <v>77913.679999999993</v>
      </c>
      <c r="F333" s="1">
        <v>167598.84999999899</v>
      </c>
    </row>
    <row r="334" spans="1:6" x14ac:dyDescent="0.35">
      <c r="A334">
        <v>201149</v>
      </c>
      <c r="B334">
        <v>36</v>
      </c>
      <c r="C334" s="1">
        <v>90940.3</v>
      </c>
      <c r="D334">
        <v>28</v>
      </c>
      <c r="E334" s="1">
        <v>76594.880000000005</v>
      </c>
      <c r="F334" s="1">
        <v>167535.18</v>
      </c>
    </row>
    <row r="335" spans="1:6" x14ac:dyDescent="0.35">
      <c r="A335">
        <v>200406</v>
      </c>
      <c r="B335">
        <v>30</v>
      </c>
      <c r="C335" s="1">
        <v>82023.72</v>
      </c>
      <c r="D335">
        <v>34</v>
      </c>
      <c r="E335" s="1">
        <v>85497.7</v>
      </c>
      <c r="F335" s="1">
        <v>167521.41999999899</v>
      </c>
    </row>
    <row r="336" spans="1:6" x14ac:dyDescent="0.35">
      <c r="A336">
        <v>200301</v>
      </c>
      <c r="B336">
        <v>25</v>
      </c>
      <c r="C336" s="1">
        <v>48182.46</v>
      </c>
      <c r="D336">
        <v>43</v>
      </c>
      <c r="E336" s="1">
        <v>119321.82</v>
      </c>
      <c r="F336" s="1">
        <v>167504.28</v>
      </c>
    </row>
    <row r="337" spans="1:6" x14ac:dyDescent="0.35">
      <c r="A337">
        <v>200421</v>
      </c>
      <c r="B337">
        <v>29</v>
      </c>
      <c r="C337" s="1">
        <v>66560.850000000006</v>
      </c>
      <c r="D337">
        <v>40</v>
      </c>
      <c r="E337" s="1">
        <v>100938.81</v>
      </c>
      <c r="F337" s="1">
        <v>167499.66</v>
      </c>
    </row>
    <row r="338" spans="1:6" x14ac:dyDescent="0.35">
      <c r="A338">
        <v>201439</v>
      </c>
      <c r="B338">
        <v>41</v>
      </c>
      <c r="C338" s="1">
        <v>115440.09</v>
      </c>
      <c r="D338">
        <v>25</v>
      </c>
      <c r="E338" s="1">
        <v>52058.74</v>
      </c>
      <c r="F338" s="1">
        <v>167498.82999999999</v>
      </c>
    </row>
    <row r="339" spans="1:6" x14ac:dyDescent="0.35">
      <c r="A339">
        <v>201394</v>
      </c>
      <c r="B339">
        <v>30</v>
      </c>
      <c r="C339" s="1">
        <v>77447.09</v>
      </c>
      <c r="D339">
        <v>32</v>
      </c>
      <c r="E339" s="1">
        <v>90006.42</v>
      </c>
      <c r="F339" s="1">
        <v>167453.51</v>
      </c>
    </row>
    <row r="340" spans="1:6" x14ac:dyDescent="0.35">
      <c r="A340">
        <v>201519</v>
      </c>
      <c r="B340">
        <v>29</v>
      </c>
      <c r="C340" s="1">
        <v>66235.41</v>
      </c>
      <c r="D340">
        <v>37</v>
      </c>
      <c r="E340" s="1">
        <v>101188.59</v>
      </c>
      <c r="F340" s="1">
        <v>167424</v>
      </c>
    </row>
    <row r="341" spans="1:6" x14ac:dyDescent="0.35">
      <c r="A341">
        <v>200039</v>
      </c>
      <c r="B341">
        <v>33</v>
      </c>
      <c r="C341" s="1">
        <v>78352.69</v>
      </c>
      <c r="D341">
        <v>28</v>
      </c>
      <c r="E341" s="1">
        <v>88991.66</v>
      </c>
      <c r="F341" s="1">
        <v>167344.35</v>
      </c>
    </row>
    <row r="342" spans="1:6" x14ac:dyDescent="0.35">
      <c r="A342">
        <v>200306</v>
      </c>
      <c r="B342">
        <v>36</v>
      </c>
      <c r="C342" s="1">
        <v>103613.23</v>
      </c>
      <c r="D342">
        <v>22</v>
      </c>
      <c r="E342" s="1">
        <v>63558.2</v>
      </c>
      <c r="F342" s="1">
        <v>167171.43</v>
      </c>
    </row>
    <row r="343" spans="1:6" x14ac:dyDescent="0.35">
      <c r="A343">
        <v>200607</v>
      </c>
      <c r="B343">
        <v>25</v>
      </c>
      <c r="C343" s="1">
        <v>71842.100000000006</v>
      </c>
      <c r="D343">
        <v>35</v>
      </c>
      <c r="E343" s="1">
        <v>95313.919999999998</v>
      </c>
      <c r="F343" s="1">
        <v>167156.01999999999</v>
      </c>
    </row>
    <row r="344" spans="1:6" x14ac:dyDescent="0.35">
      <c r="A344">
        <v>200986</v>
      </c>
      <c r="B344">
        <v>40</v>
      </c>
      <c r="C344" s="1">
        <v>100067.21</v>
      </c>
      <c r="D344">
        <v>34</v>
      </c>
      <c r="E344" s="1">
        <v>67068.210000000006</v>
      </c>
      <c r="F344" s="1">
        <v>167135.42000000001</v>
      </c>
    </row>
    <row r="345" spans="1:6" x14ac:dyDescent="0.35">
      <c r="A345">
        <v>200447</v>
      </c>
      <c r="B345">
        <v>34</v>
      </c>
      <c r="C345" s="1">
        <v>89985.54</v>
      </c>
      <c r="D345">
        <v>32</v>
      </c>
      <c r="E345" s="1">
        <v>77094</v>
      </c>
      <c r="F345" s="1">
        <v>167079.53999999899</v>
      </c>
    </row>
    <row r="346" spans="1:6" x14ac:dyDescent="0.35">
      <c r="A346">
        <v>201467</v>
      </c>
      <c r="B346">
        <v>33</v>
      </c>
      <c r="C346" s="1">
        <v>89728.93</v>
      </c>
      <c r="D346">
        <v>29</v>
      </c>
      <c r="E346" s="1">
        <v>77248.350000000006</v>
      </c>
      <c r="F346" s="1">
        <v>166977.28</v>
      </c>
    </row>
    <row r="347" spans="1:6" x14ac:dyDescent="0.35">
      <c r="A347">
        <v>201236</v>
      </c>
      <c r="B347">
        <v>24</v>
      </c>
      <c r="C347" s="1">
        <v>80159.94</v>
      </c>
      <c r="D347">
        <v>33</v>
      </c>
      <c r="E347" s="1">
        <v>86742.21</v>
      </c>
      <c r="F347" s="1">
        <v>166902.15</v>
      </c>
    </row>
    <row r="348" spans="1:6" x14ac:dyDescent="0.35">
      <c r="A348">
        <v>200135</v>
      </c>
      <c r="B348">
        <v>27</v>
      </c>
      <c r="C348" s="1">
        <v>65946.149999999994</v>
      </c>
      <c r="D348">
        <v>46</v>
      </c>
      <c r="E348" s="1">
        <v>100892.67</v>
      </c>
      <c r="F348" s="1">
        <v>166838.82</v>
      </c>
    </row>
    <row r="349" spans="1:6" x14ac:dyDescent="0.35">
      <c r="A349">
        <v>201480</v>
      </c>
      <c r="B349">
        <v>37</v>
      </c>
      <c r="C349" s="1">
        <v>89296.41</v>
      </c>
      <c r="D349">
        <v>32</v>
      </c>
      <c r="E349" s="1">
        <v>77531.03</v>
      </c>
      <c r="F349" s="1">
        <v>166827.44</v>
      </c>
    </row>
    <row r="350" spans="1:6" x14ac:dyDescent="0.35">
      <c r="A350">
        <v>200600</v>
      </c>
      <c r="B350">
        <v>34</v>
      </c>
      <c r="C350" s="1">
        <v>87395.89</v>
      </c>
      <c r="D350">
        <v>34</v>
      </c>
      <c r="E350" s="1">
        <v>79386.710000000006</v>
      </c>
      <c r="F350" s="1">
        <v>166782.6</v>
      </c>
    </row>
    <row r="351" spans="1:6" x14ac:dyDescent="0.35">
      <c r="A351">
        <v>200505</v>
      </c>
      <c r="B351">
        <v>32</v>
      </c>
      <c r="C351" s="1">
        <v>81490.929999999993</v>
      </c>
      <c r="D351">
        <v>30</v>
      </c>
      <c r="E351" s="1">
        <v>85280.27</v>
      </c>
      <c r="F351" s="1">
        <v>166771.20000000001</v>
      </c>
    </row>
    <row r="352" spans="1:6" x14ac:dyDescent="0.35">
      <c r="A352">
        <v>200778</v>
      </c>
      <c r="B352">
        <v>29</v>
      </c>
      <c r="C352" s="1">
        <v>84887.09</v>
      </c>
      <c r="D352">
        <v>31</v>
      </c>
      <c r="E352" s="1">
        <v>81843.19</v>
      </c>
      <c r="F352" s="1">
        <v>166730.28</v>
      </c>
    </row>
    <row r="353" spans="1:6" x14ac:dyDescent="0.35">
      <c r="A353">
        <v>200347</v>
      </c>
      <c r="B353">
        <v>28</v>
      </c>
      <c r="C353" s="1">
        <v>74260.289999999994</v>
      </c>
      <c r="D353">
        <v>39</v>
      </c>
      <c r="E353" s="1">
        <v>92457.01</v>
      </c>
      <c r="F353" s="1">
        <v>166717.29999999999</v>
      </c>
    </row>
    <row r="354" spans="1:6" x14ac:dyDescent="0.35">
      <c r="A354">
        <v>200385</v>
      </c>
      <c r="B354">
        <v>29</v>
      </c>
      <c r="C354" s="1">
        <v>73921.75</v>
      </c>
      <c r="D354">
        <v>34</v>
      </c>
      <c r="E354" s="1">
        <v>92792.47</v>
      </c>
      <c r="F354" s="1">
        <v>166714.22</v>
      </c>
    </row>
    <row r="355" spans="1:6" x14ac:dyDescent="0.35">
      <c r="A355">
        <v>200714</v>
      </c>
      <c r="B355">
        <v>28</v>
      </c>
      <c r="C355" s="1">
        <v>72349.88</v>
      </c>
      <c r="D355">
        <v>40</v>
      </c>
      <c r="E355" s="1">
        <v>94361.11</v>
      </c>
      <c r="F355" s="1">
        <v>166710.99</v>
      </c>
    </row>
    <row r="356" spans="1:6" x14ac:dyDescent="0.35">
      <c r="A356">
        <v>200370</v>
      </c>
      <c r="B356">
        <v>34</v>
      </c>
      <c r="C356" s="1">
        <v>79314.53</v>
      </c>
      <c r="D356">
        <v>36</v>
      </c>
      <c r="E356" s="1">
        <v>87308.42</v>
      </c>
      <c r="F356" s="1">
        <v>166622.95000000001</v>
      </c>
    </row>
    <row r="357" spans="1:6" x14ac:dyDescent="0.35">
      <c r="A357">
        <v>200319</v>
      </c>
      <c r="B357">
        <v>35</v>
      </c>
      <c r="C357" s="1">
        <v>91250.31</v>
      </c>
      <c r="D357">
        <v>34</v>
      </c>
      <c r="E357" s="1">
        <v>75334.63</v>
      </c>
      <c r="F357" s="1">
        <v>166584.94</v>
      </c>
    </row>
    <row r="358" spans="1:6" x14ac:dyDescent="0.35">
      <c r="A358">
        <v>201457</v>
      </c>
      <c r="B358">
        <v>27</v>
      </c>
      <c r="C358" s="1">
        <v>60257.89</v>
      </c>
      <c r="D358">
        <v>37</v>
      </c>
      <c r="E358" s="1">
        <v>106231.8</v>
      </c>
      <c r="F358" s="1">
        <v>166489.69</v>
      </c>
    </row>
    <row r="359" spans="1:6" x14ac:dyDescent="0.35">
      <c r="A359">
        <v>201321</v>
      </c>
      <c r="B359">
        <v>38</v>
      </c>
      <c r="C359" s="1">
        <v>97210.26</v>
      </c>
      <c r="D359">
        <v>28</v>
      </c>
      <c r="E359" s="1">
        <v>69278.5</v>
      </c>
      <c r="F359" s="1">
        <v>166488.76</v>
      </c>
    </row>
    <row r="360" spans="1:6" x14ac:dyDescent="0.35">
      <c r="A360">
        <v>201546</v>
      </c>
      <c r="B360">
        <v>31</v>
      </c>
      <c r="C360" s="1">
        <v>93373.78</v>
      </c>
      <c r="D360">
        <v>32</v>
      </c>
      <c r="E360" s="1">
        <v>73096.37</v>
      </c>
      <c r="F360" s="1">
        <v>166470.15</v>
      </c>
    </row>
    <row r="361" spans="1:6" x14ac:dyDescent="0.35">
      <c r="A361">
        <v>200400</v>
      </c>
      <c r="B361">
        <v>29</v>
      </c>
      <c r="C361" s="1">
        <v>80525.350000000006</v>
      </c>
      <c r="D361">
        <v>27</v>
      </c>
      <c r="E361" s="1">
        <v>85936.84</v>
      </c>
      <c r="F361" s="1">
        <v>166462.19</v>
      </c>
    </row>
    <row r="362" spans="1:6" x14ac:dyDescent="0.35">
      <c r="A362">
        <v>200200</v>
      </c>
      <c r="B362">
        <v>34</v>
      </c>
      <c r="C362" s="1">
        <v>89398.399999999994</v>
      </c>
      <c r="D362">
        <v>32</v>
      </c>
      <c r="E362" s="1">
        <v>77060.320000000007</v>
      </c>
      <c r="F362" s="1">
        <v>166458.72</v>
      </c>
    </row>
    <row r="363" spans="1:6" x14ac:dyDescent="0.35">
      <c r="A363">
        <v>201626</v>
      </c>
      <c r="B363">
        <v>35</v>
      </c>
      <c r="C363" s="1">
        <v>93201.55</v>
      </c>
      <c r="D363">
        <v>32</v>
      </c>
      <c r="E363" s="1">
        <v>73162.73</v>
      </c>
      <c r="F363" s="1">
        <v>166364.28</v>
      </c>
    </row>
    <row r="364" spans="1:6" x14ac:dyDescent="0.35">
      <c r="A364">
        <v>200379</v>
      </c>
      <c r="B364">
        <v>28</v>
      </c>
      <c r="C364" s="1">
        <v>81368.78</v>
      </c>
      <c r="D364">
        <v>31</v>
      </c>
      <c r="E364" s="1">
        <v>84964.25</v>
      </c>
      <c r="F364" s="1">
        <v>166333.03</v>
      </c>
    </row>
    <row r="365" spans="1:6" x14ac:dyDescent="0.35">
      <c r="A365">
        <v>200844</v>
      </c>
      <c r="B365">
        <v>45</v>
      </c>
      <c r="C365" s="1">
        <v>106107.91</v>
      </c>
      <c r="D365">
        <v>28</v>
      </c>
      <c r="E365" s="1">
        <v>60198.84</v>
      </c>
      <c r="F365" s="1">
        <v>166306.75</v>
      </c>
    </row>
    <row r="366" spans="1:6" x14ac:dyDescent="0.35">
      <c r="A366">
        <v>200627</v>
      </c>
      <c r="B366">
        <v>27</v>
      </c>
      <c r="C366" s="1">
        <v>79961.210000000006</v>
      </c>
      <c r="D366">
        <v>32</v>
      </c>
      <c r="E366" s="1">
        <v>86263.32</v>
      </c>
      <c r="F366" s="1">
        <v>166224.53</v>
      </c>
    </row>
    <row r="367" spans="1:6" x14ac:dyDescent="0.35">
      <c r="A367">
        <v>201220</v>
      </c>
      <c r="B367">
        <v>25</v>
      </c>
      <c r="C367" s="1">
        <v>77460.08</v>
      </c>
      <c r="D367">
        <v>33</v>
      </c>
      <c r="E367" s="1">
        <v>88744.81</v>
      </c>
      <c r="F367" s="1">
        <v>166204.89000000001</v>
      </c>
    </row>
    <row r="368" spans="1:6" x14ac:dyDescent="0.35">
      <c r="A368">
        <v>201518</v>
      </c>
      <c r="B368">
        <v>38</v>
      </c>
      <c r="C368" s="1">
        <v>90105.46</v>
      </c>
      <c r="D368">
        <v>35</v>
      </c>
      <c r="E368" s="1">
        <v>76043.66</v>
      </c>
      <c r="F368" s="1">
        <v>166149.12</v>
      </c>
    </row>
    <row r="369" spans="1:6" x14ac:dyDescent="0.35">
      <c r="A369">
        <v>200427</v>
      </c>
      <c r="B369">
        <v>29</v>
      </c>
      <c r="C369" s="1">
        <v>75403.520000000004</v>
      </c>
      <c r="D369">
        <v>35</v>
      </c>
      <c r="E369" s="1">
        <v>90722.53</v>
      </c>
      <c r="F369" s="1">
        <v>166126.04999999999</v>
      </c>
    </row>
    <row r="370" spans="1:6" x14ac:dyDescent="0.35">
      <c r="A370">
        <v>201109</v>
      </c>
      <c r="B370">
        <v>30</v>
      </c>
      <c r="C370" s="1">
        <v>78976.52</v>
      </c>
      <c r="D370">
        <v>30</v>
      </c>
      <c r="E370" s="1">
        <v>87118.41</v>
      </c>
      <c r="F370" s="1">
        <v>166094.93</v>
      </c>
    </row>
    <row r="371" spans="1:6" x14ac:dyDescent="0.35">
      <c r="A371">
        <v>201316</v>
      </c>
      <c r="B371">
        <v>29</v>
      </c>
      <c r="C371" s="1">
        <v>93241.66</v>
      </c>
      <c r="D371">
        <v>31</v>
      </c>
      <c r="E371" s="1">
        <v>72832.45</v>
      </c>
      <c r="F371" s="1">
        <v>166074.10999999999</v>
      </c>
    </row>
    <row r="372" spans="1:6" x14ac:dyDescent="0.35">
      <c r="A372">
        <v>201060</v>
      </c>
      <c r="B372">
        <v>25</v>
      </c>
      <c r="C372" s="1">
        <v>74411.100000000006</v>
      </c>
      <c r="D372">
        <v>37</v>
      </c>
      <c r="E372" s="1">
        <v>91593.98</v>
      </c>
      <c r="F372" s="1">
        <v>166005.07999999999</v>
      </c>
    </row>
    <row r="373" spans="1:6" x14ac:dyDescent="0.35">
      <c r="A373">
        <v>201172</v>
      </c>
      <c r="B373">
        <v>36</v>
      </c>
      <c r="C373" s="1">
        <v>90536.44</v>
      </c>
      <c r="D373">
        <v>30</v>
      </c>
      <c r="E373" s="1">
        <v>75414.820000000007</v>
      </c>
      <c r="F373" s="1">
        <v>165951.26</v>
      </c>
    </row>
    <row r="374" spans="1:6" x14ac:dyDescent="0.35">
      <c r="A374">
        <v>200050</v>
      </c>
      <c r="B374">
        <v>38</v>
      </c>
      <c r="C374" s="1">
        <v>89064.31</v>
      </c>
      <c r="D374">
        <v>26</v>
      </c>
      <c r="E374" s="1">
        <v>76868.55</v>
      </c>
      <c r="F374" s="1">
        <v>165932.85999999999</v>
      </c>
    </row>
    <row r="375" spans="1:6" x14ac:dyDescent="0.35">
      <c r="A375">
        <v>201490</v>
      </c>
      <c r="B375">
        <v>37</v>
      </c>
      <c r="C375" s="1">
        <v>106722.73</v>
      </c>
      <c r="D375">
        <v>24</v>
      </c>
      <c r="E375" s="1">
        <v>59180.17</v>
      </c>
      <c r="F375" s="1">
        <v>165902.9</v>
      </c>
    </row>
    <row r="376" spans="1:6" x14ac:dyDescent="0.35">
      <c r="A376">
        <v>201344</v>
      </c>
      <c r="B376">
        <v>33</v>
      </c>
      <c r="C376" s="1">
        <v>81432.47</v>
      </c>
      <c r="D376">
        <v>35</v>
      </c>
      <c r="E376" s="1">
        <v>84423.2</v>
      </c>
      <c r="F376" s="1">
        <v>165855.66999999899</v>
      </c>
    </row>
    <row r="377" spans="1:6" x14ac:dyDescent="0.35">
      <c r="A377">
        <v>201511</v>
      </c>
      <c r="B377">
        <v>32</v>
      </c>
      <c r="C377" s="1">
        <v>68188.59</v>
      </c>
      <c r="D377">
        <v>40</v>
      </c>
      <c r="E377" s="1">
        <v>97592.36</v>
      </c>
      <c r="F377" s="1">
        <v>165780.95000000001</v>
      </c>
    </row>
    <row r="378" spans="1:6" x14ac:dyDescent="0.35">
      <c r="A378">
        <v>200834</v>
      </c>
      <c r="B378">
        <v>25</v>
      </c>
      <c r="C378" s="1">
        <v>68235.86</v>
      </c>
      <c r="D378">
        <v>38</v>
      </c>
      <c r="E378" s="1">
        <v>97530.76</v>
      </c>
      <c r="F378" s="1">
        <v>165766.62</v>
      </c>
    </row>
    <row r="379" spans="1:6" x14ac:dyDescent="0.35">
      <c r="A379">
        <v>201421</v>
      </c>
      <c r="B379">
        <v>36</v>
      </c>
      <c r="C379" s="1">
        <v>82378.740000000005</v>
      </c>
      <c r="D379">
        <v>30</v>
      </c>
      <c r="E379" s="1">
        <v>83336.83</v>
      </c>
      <c r="F379" s="1">
        <v>165715.57</v>
      </c>
    </row>
    <row r="380" spans="1:6" x14ac:dyDescent="0.35">
      <c r="A380">
        <v>200583</v>
      </c>
      <c r="B380">
        <v>23</v>
      </c>
      <c r="C380" s="1">
        <v>69242.28</v>
      </c>
      <c r="D380">
        <v>37</v>
      </c>
      <c r="E380" s="1">
        <v>96464.21</v>
      </c>
      <c r="F380" s="1">
        <v>165706.49</v>
      </c>
    </row>
    <row r="381" spans="1:6" x14ac:dyDescent="0.35">
      <c r="A381">
        <v>200523</v>
      </c>
      <c r="B381">
        <v>37</v>
      </c>
      <c r="C381" s="1">
        <v>88654.36</v>
      </c>
      <c r="D381">
        <v>33</v>
      </c>
      <c r="E381" s="1">
        <v>77033.279999999999</v>
      </c>
      <c r="F381" s="1">
        <v>165687.64000000001</v>
      </c>
    </row>
    <row r="382" spans="1:6" x14ac:dyDescent="0.35">
      <c r="A382">
        <v>200589</v>
      </c>
      <c r="B382">
        <v>32</v>
      </c>
      <c r="C382" s="1">
        <v>91427.9</v>
      </c>
      <c r="D382">
        <v>33</v>
      </c>
      <c r="E382" s="1">
        <v>74237.960000000006</v>
      </c>
      <c r="F382" s="1">
        <v>165665.85999999999</v>
      </c>
    </row>
    <row r="383" spans="1:6" x14ac:dyDescent="0.35">
      <c r="A383">
        <v>201216</v>
      </c>
      <c r="B383">
        <v>39</v>
      </c>
      <c r="C383" s="1">
        <v>97926.38</v>
      </c>
      <c r="D383">
        <v>27</v>
      </c>
      <c r="E383" s="1">
        <v>67730.59</v>
      </c>
      <c r="F383" s="1">
        <v>165656.97</v>
      </c>
    </row>
    <row r="384" spans="1:6" x14ac:dyDescent="0.35">
      <c r="A384">
        <v>200767</v>
      </c>
      <c r="B384">
        <v>40</v>
      </c>
      <c r="C384" s="1">
        <v>103841.97</v>
      </c>
      <c r="D384">
        <v>24</v>
      </c>
      <c r="E384" s="1">
        <v>61659.21</v>
      </c>
      <c r="F384" s="1">
        <v>165501.18</v>
      </c>
    </row>
    <row r="385" spans="1:6" x14ac:dyDescent="0.35">
      <c r="A385">
        <v>201198</v>
      </c>
      <c r="B385">
        <v>32</v>
      </c>
      <c r="C385" s="1">
        <v>83589.98</v>
      </c>
      <c r="D385">
        <v>29</v>
      </c>
      <c r="E385" s="1">
        <v>81910.570000000007</v>
      </c>
      <c r="F385" s="1">
        <v>165500.54999999999</v>
      </c>
    </row>
    <row r="386" spans="1:6" x14ac:dyDescent="0.35">
      <c r="A386">
        <v>200526</v>
      </c>
      <c r="B386">
        <v>33</v>
      </c>
      <c r="C386" s="1">
        <v>91168.03</v>
      </c>
      <c r="D386">
        <v>33</v>
      </c>
      <c r="E386" s="1">
        <v>74301.070000000007</v>
      </c>
      <c r="F386" s="1">
        <v>165469.1</v>
      </c>
    </row>
    <row r="387" spans="1:6" x14ac:dyDescent="0.35">
      <c r="A387">
        <v>201506</v>
      </c>
      <c r="B387">
        <v>26</v>
      </c>
      <c r="C387" s="1">
        <v>76495.64</v>
      </c>
      <c r="D387">
        <v>36</v>
      </c>
      <c r="E387" s="1">
        <v>88846.63</v>
      </c>
      <c r="F387" s="1">
        <v>165342.26999999999</v>
      </c>
    </row>
    <row r="388" spans="1:6" x14ac:dyDescent="0.35">
      <c r="A388">
        <v>200641</v>
      </c>
      <c r="B388">
        <v>33</v>
      </c>
      <c r="C388" s="1">
        <v>89366.65</v>
      </c>
      <c r="D388">
        <v>28</v>
      </c>
      <c r="E388" s="1">
        <v>75968.95</v>
      </c>
      <c r="F388" s="1">
        <v>165335.59999999899</v>
      </c>
    </row>
    <row r="389" spans="1:6" x14ac:dyDescent="0.35">
      <c r="A389">
        <v>200606</v>
      </c>
      <c r="B389">
        <v>31</v>
      </c>
      <c r="C389" s="1">
        <v>88616.67</v>
      </c>
      <c r="D389">
        <v>31</v>
      </c>
      <c r="E389" s="1">
        <v>76715.429999999993</v>
      </c>
      <c r="F389" s="1">
        <v>165332.09999999899</v>
      </c>
    </row>
    <row r="390" spans="1:6" x14ac:dyDescent="0.35">
      <c r="A390">
        <v>201553</v>
      </c>
      <c r="B390">
        <v>32</v>
      </c>
      <c r="C390" s="1">
        <v>87488.27</v>
      </c>
      <c r="D390">
        <v>28</v>
      </c>
      <c r="E390" s="1">
        <v>77696.36</v>
      </c>
      <c r="F390" s="1">
        <v>165184.63</v>
      </c>
    </row>
    <row r="391" spans="1:6" x14ac:dyDescent="0.35">
      <c r="A391">
        <v>201209</v>
      </c>
      <c r="B391">
        <v>27</v>
      </c>
      <c r="C391" s="1">
        <v>76866.89</v>
      </c>
      <c r="D391">
        <v>34</v>
      </c>
      <c r="E391" s="1">
        <v>88313.55</v>
      </c>
      <c r="F391" s="1">
        <v>165180.44</v>
      </c>
    </row>
    <row r="392" spans="1:6" x14ac:dyDescent="0.35">
      <c r="A392">
        <v>200999</v>
      </c>
      <c r="B392">
        <v>32</v>
      </c>
      <c r="C392" s="1">
        <v>87904.85</v>
      </c>
      <c r="D392">
        <v>32</v>
      </c>
      <c r="E392" s="1">
        <v>77245.63</v>
      </c>
      <c r="F392" s="1">
        <v>165150.48000000001</v>
      </c>
    </row>
    <row r="393" spans="1:6" x14ac:dyDescent="0.35">
      <c r="A393">
        <v>201115</v>
      </c>
      <c r="B393">
        <v>32</v>
      </c>
      <c r="C393" s="1">
        <v>89288.62</v>
      </c>
      <c r="D393">
        <v>31</v>
      </c>
      <c r="E393" s="1">
        <v>75797.55</v>
      </c>
      <c r="F393" s="1">
        <v>165086.16999999899</v>
      </c>
    </row>
    <row r="394" spans="1:6" x14ac:dyDescent="0.35">
      <c r="A394">
        <v>201096</v>
      </c>
      <c r="B394">
        <v>26</v>
      </c>
      <c r="C394" s="1">
        <v>70922.58</v>
      </c>
      <c r="D394">
        <v>35</v>
      </c>
      <c r="E394" s="1">
        <v>94135.83</v>
      </c>
      <c r="F394" s="1">
        <v>165058.41</v>
      </c>
    </row>
    <row r="395" spans="1:6" x14ac:dyDescent="0.35">
      <c r="A395">
        <v>201389</v>
      </c>
      <c r="B395">
        <v>30</v>
      </c>
      <c r="C395" s="1">
        <v>80198.240000000005</v>
      </c>
      <c r="D395">
        <v>35</v>
      </c>
      <c r="E395" s="1">
        <v>84855.85</v>
      </c>
      <c r="F395" s="1">
        <v>165054.09</v>
      </c>
    </row>
    <row r="396" spans="1:6" x14ac:dyDescent="0.35">
      <c r="A396">
        <v>201235</v>
      </c>
      <c r="B396">
        <v>41</v>
      </c>
      <c r="C396" s="1">
        <v>104256.46</v>
      </c>
      <c r="D396">
        <v>19</v>
      </c>
      <c r="E396" s="1">
        <v>60683.25</v>
      </c>
      <c r="F396" s="1">
        <v>164939.71</v>
      </c>
    </row>
    <row r="397" spans="1:6" x14ac:dyDescent="0.35">
      <c r="A397">
        <v>200835</v>
      </c>
      <c r="B397">
        <v>32</v>
      </c>
      <c r="C397" s="1">
        <v>75550.460000000006</v>
      </c>
      <c r="D397">
        <v>33</v>
      </c>
      <c r="E397" s="1">
        <v>89373.8</v>
      </c>
      <c r="F397" s="1">
        <v>164924.26</v>
      </c>
    </row>
    <row r="398" spans="1:6" x14ac:dyDescent="0.35">
      <c r="A398">
        <v>200378</v>
      </c>
      <c r="B398">
        <v>33</v>
      </c>
      <c r="C398" s="1">
        <v>93759.87</v>
      </c>
      <c r="D398">
        <v>35</v>
      </c>
      <c r="E398" s="1">
        <v>71096.59</v>
      </c>
      <c r="F398" s="1">
        <v>164856.46</v>
      </c>
    </row>
    <row r="399" spans="1:6" x14ac:dyDescent="0.35">
      <c r="A399">
        <v>201314</v>
      </c>
      <c r="B399">
        <v>21</v>
      </c>
      <c r="C399" s="1">
        <v>47571.49</v>
      </c>
      <c r="D399">
        <v>45</v>
      </c>
      <c r="E399" s="1">
        <v>117257.35</v>
      </c>
      <c r="F399" s="1">
        <v>164828.84</v>
      </c>
    </row>
    <row r="400" spans="1:6" x14ac:dyDescent="0.35">
      <c r="A400">
        <v>200792</v>
      </c>
      <c r="B400">
        <v>23</v>
      </c>
      <c r="C400" s="1">
        <v>65588.91</v>
      </c>
      <c r="D400">
        <v>39</v>
      </c>
      <c r="E400" s="1">
        <v>99233.69</v>
      </c>
      <c r="F400" s="1">
        <v>164822.6</v>
      </c>
    </row>
    <row r="401" spans="1:6" x14ac:dyDescent="0.35">
      <c r="A401">
        <v>200698</v>
      </c>
      <c r="B401">
        <v>22</v>
      </c>
      <c r="C401" s="1">
        <v>59007.68</v>
      </c>
      <c r="D401">
        <v>36</v>
      </c>
      <c r="E401" s="1">
        <v>105658.19</v>
      </c>
      <c r="F401" s="1">
        <v>164665.87</v>
      </c>
    </row>
    <row r="402" spans="1:6" x14ac:dyDescent="0.35">
      <c r="A402">
        <v>200743</v>
      </c>
      <c r="B402">
        <v>34</v>
      </c>
      <c r="C402" s="1">
        <v>85522.2</v>
      </c>
      <c r="D402">
        <v>34</v>
      </c>
      <c r="E402" s="1">
        <v>79008.06</v>
      </c>
      <c r="F402" s="1">
        <v>164530.26</v>
      </c>
    </row>
    <row r="403" spans="1:6" x14ac:dyDescent="0.35">
      <c r="A403">
        <v>201016</v>
      </c>
      <c r="B403">
        <v>38</v>
      </c>
      <c r="C403" s="1">
        <v>95513.06</v>
      </c>
      <c r="D403">
        <v>26</v>
      </c>
      <c r="E403" s="1">
        <v>68951.88</v>
      </c>
      <c r="F403" s="1">
        <v>164464.94</v>
      </c>
    </row>
    <row r="404" spans="1:6" x14ac:dyDescent="0.35">
      <c r="A404">
        <v>200637</v>
      </c>
      <c r="B404">
        <v>27</v>
      </c>
      <c r="C404" s="1">
        <v>67071.38</v>
      </c>
      <c r="D404">
        <v>33</v>
      </c>
      <c r="E404" s="1">
        <v>97362.57</v>
      </c>
      <c r="F404" s="1">
        <v>164433.95000000001</v>
      </c>
    </row>
    <row r="405" spans="1:6" x14ac:dyDescent="0.35">
      <c r="A405">
        <v>200428</v>
      </c>
      <c r="B405">
        <v>32</v>
      </c>
      <c r="C405" s="1">
        <v>80327.460000000006</v>
      </c>
      <c r="D405">
        <v>28</v>
      </c>
      <c r="E405" s="1">
        <v>83942.11</v>
      </c>
      <c r="F405" s="1">
        <v>164269.57</v>
      </c>
    </row>
    <row r="406" spans="1:6" x14ac:dyDescent="0.35">
      <c r="A406">
        <v>201200</v>
      </c>
      <c r="B406">
        <v>34</v>
      </c>
      <c r="C406" s="1">
        <v>86109.7</v>
      </c>
      <c r="D406">
        <v>26</v>
      </c>
      <c r="E406" s="1">
        <v>78151.25</v>
      </c>
      <c r="F406" s="1">
        <v>164260.95000000001</v>
      </c>
    </row>
    <row r="407" spans="1:6" x14ac:dyDescent="0.35">
      <c r="A407">
        <v>201535</v>
      </c>
      <c r="B407">
        <v>34</v>
      </c>
      <c r="C407" s="1">
        <v>78435.789999999994</v>
      </c>
      <c r="D407">
        <v>36</v>
      </c>
      <c r="E407" s="1">
        <v>85813.45</v>
      </c>
      <c r="F407" s="1">
        <v>164249.24</v>
      </c>
    </row>
    <row r="408" spans="1:6" x14ac:dyDescent="0.35">
      <c r="A408">
        <v>200750</v>
      </c>
      <c r="B408">
        <v>35</v>
      </c>
      <c r="C408" s="1">
        <v>98732.2</v>
      </c>
      <c r="D408">
        <v>26</v>
      </c>
      <c r="E408" s="1">
        <v>65478.39</v>
      </c>
      <c r="F408" s="1">
        <v>164210.59</v>
      </c>
    </row>
    <row r="409" spans="1:6" x14ac:dyDescent="0.35">
      <c r="A409">
        <v>201227</v>
      </c>
      <c r="B409">
        <v>31</v>
      </c>
      <c r="C409" s="1">
        <v>81615.179999999993</v>
      </c>
      <c r="D409">
        <v>31</v>
      </c>
      <c r="E409" s="1">
        <v>82589.94</v>
      </c>
      <c r="F409" s="1">
        <v>164205.12</v>
      </c>
    </row>
    <row r="410" spans="1:6" x14ac:dyDescent="0.35">
      <c r="A410">
        <v>201250</v>
      </c>
      <c r="B410">
        <v>41</v>
      </c>
      <c r="C410" s="1">
        <v>95450.3</v>
      </c>
      <c r="D410">
        <v>30</v>
      </c>
      <c r="E410" s="1">
        <v>68691.45</v>
      </c>
      <c r="F410" s="1">
        <v>164141.75</v>
      </c>
    </row>
    <row r="411" spans="1:6" x14ac:dyDescent="0.35">
      <c r="A411">
        <v>200868</v>
      </c>
      <c r="B411">
        <v>27</v>
      </c>
      <c r="C411" s="1">
        <v>70571.100000000006</v>
      </c>
      <c r="D411">
        <v>36</v>
      </c>
      <c r="E411" s="1">
        <v>93511.1</v>
      </c>
      <c r="F411" s="1">
        <v>164082.20000000001</v>
      </c>
    </row>
    <row r="412" spans="1:6" x14ac:dyDescent="0.35">
      <c r="A412">
        <v>200340</v>
      </c>
      <c r="B412">
        <v>25</v>
      </c>
      <c r="C412" s="1">
        <v>65594.02</v>
      </c>
      <c r="D412">
        <v>34</v>
      </c>
      <c r="E412" s="1">
        <v>98482.11</v>
      </c>
      <c r="F412" s="1">
        <v>164076.13</v>
      </c>
    </row>
    <row r="413" spans="1:6" x14ac:dyDescent="0.35">
      <c r="A413">
        <v>201304</v>
      </c>
      <c r="B413">
        <v>30</v>
      </c>
      <c r="C413" s="1">
        <v>75437.47</v>
      </c>
      <c r="D413">
        <v>40</v>
      </c>
      <c r="E413" s="1">
        <v>88615</v>
      </c>
      <c r="F413" s="1">
        <v>164052.47</v>
      </c>
    </row>
    <row r="414" spans="1:6" x14ac:dyDescent="0.35">
      <c r="A414">
        <v>200139</v>
      </c>
      <c r="B414">
        <v>25</v>
      </c>
      <c r="C414" s="1">
        <v>65220.23</v>
      </c>
      <c r="D414">
        <v>38</v>
      </c>
      <c r="E414" s="1">
        <v>98783.69</v>
      </c>
      <c r="F414" s="1">
        <v>164003.92000000001</v>
      </c>
    </row>
    <row r="415" spans="1:6" x14ac:dyDescent="0.35">
      <c r="A415">
        <v>201395</v>
      </c>
      <c r="B415">
        <v>30</v>
      </c>
      <c r="C415" s="1">
        <v>91993.07</v>
      </c>
      <c r="D415">
        <v>27</v>
      </c>
      <c r="E415" s="1">
        <v>71941.600000000006</v>
      </c>
      <c r="F415" s="1">
        <v>163934.67000000001</v>
      </c>
    </row>
    <row r="416" spans="1:6" x14ac:dyDescent="0.35">
      <c r="A416">
        <v>201374</v>
      </c>
      <c r="B416">
        <v>39</v>
      </c>
      <c r="C416" s="1">
        <v>91860.94</v>
      </c>
      <c r="D416">
        <v>26</v>
      </c>
      <c r="E416" s="1">
        <v>72064.83</v>
      </c>
      <c r="F416" s="1">
        <v>163925.76999999999</v>
      </c>
    </row>
    <row r="417" spans="1:6" x14ac:dyDescent="0.35">
      <c r="A417">
        <v>201297</v>
      </c>
      <c r="B417">
        <v>32</v>
      </c>
      <c r="C417" s="1">
        <v>77899.47</v>
      </c>
      <c r="D417">
        <v>29</v>
      </c>
      <c r="E417" s="1">
        <v>86021.759999999995</v>
      </c>
      <c r="F417" s="1">
        <v>163921.22999999899</v>
      </c>
    </row>
    <row r="418" spans="1:6" x14ac:dyDescent="0.35">
      <c r="A418">
        <v>201322</v>
      </c>
      <c r="B418">
        <v>31</v>
      </c>
      <c r="C418" s="1">
        <v>77547.520000000004</v>
      </c>
      <c r="D418">
        <v>32</v>
      </c>
      <c r="E418" s="1">
        <v>86349.98</v>
      </c>
      <c r="F418" s="1">
        <v>163897.5</v>
      </c>
    </row>
    <row r="419" spans="1:6" x14ac:dyDescent="0.35">
      <c r="A419">
        <v>200357</v>
      </c>
      <c r="B419">
        <v>30</v>
      </c>
      <c r="C419" s="1">
        <v>78968.78</v>
      </c>
      <c r="D419">
        <v>30</v>
      </c>
      <c r="E419" s="1">
        <v>84906.14</v>
      </c>
      <c r="F419" s="1">
        <v>163874.91999999899</v>
      </c>
    </row>
    <row r="420" spans="1:6" x14ac:dyDescent="0.35">
      <c r="A420">
        <v>200643</v>
      </c>
      <c r="B420">
        <v>34</v>
      </c>
      <c r="C420" s="1">
        <v>84639.679999999993</v>
      </c>
      <c r="D420">
        <v>30</v>
      </c>
      <c r="E420" s="1">
        <v>79185.47</v>
      </c>
      <c r="F420" s="1">
        <v>163825.15</v>
      </c>
    </row>
    <row r="421" spans="1:6" x14ac:dyDescent="0.35">
      <c r="A421">
        <v>200140</v>
      </c>
      <c r="B421">
        <v>28</v>
      </c>
      <c r="C421" s="1">
        <v>81631.61</v>
      </c>
      <c r="D421">
        <v>33</v>
      </c>
      <c r="E421" s="1">
        <v>82166.98</v>
      </c>
      <c r="F421" s="1">
        <v>163798.59</v>
      </c>
    </row>
    <row r="422" spans="1:6" x14ac:dyDescent="0.35">
      <c r="A422">
        <v>200372</v>
      </c>
      <c r="B422">
        <v>35</v>
      </c>
      <c r="C422" s="1">
        <v>83714.429999999993</v>
      </c>
      <c r="D422">
        <v>32</v>
      </c>
      <c r="E422" s="1">
        <v>80025.53</v>
      </c>
      <c r="F422" s="1">
        <v>163739.96</v>
      </c>
    </row>
    <row r="423" spans="1:6" x14ac:dyDescent="0.35">
      <c r="A423">
        <v>200415</v>
      </c>
      <c r="B423">
        <v>31</v>
      </c>
      <c r="C423" s="1">
        <v>84995.99</v>
      </c>
      <c r="D423">
        <v>30</v>
      </c>
      <c r="E423" s="1">
        <v>78698.759999999995</v>
      </c>
      <c r="F423" s="1">
        <v>163694.75</v>
      </c>
    </row>
    <row r="424" spans="1:6" x14ac:dyDescent="0.35">
      <c r="A424">
        <v>200032</v>
      </c>
      <c r="B424">
        <v>33</v>
      </c>
      <c r="C424" s="1">
        <v>97004.95</v>
      </c>
      <c r="D424">
        <v>31</v>
      </c>
      <c r="E424" s="1">
        <v>66661.86</v>
      </c>
      <c r="F424" s="1">
        <v>163666.81</v>
      </c>
    </row>
    <row r="425" spans="1:6" x14ac:dyDescent="0.35">
      <c r="A425">
        <v>201355</v>
      </c>
      <c r="B425">
        <v>29</v>
      </c>
      <c r="C425" s="1">
        <v>89780.67</v>
      </c>
      <c r="D425">
        <v>33</v>
      </c>
      <c r="E425" s="1">
        <v>73704.039999999994</v>
      </c>
      <c r="F425" s="1">
        <v>163484.71</v>
      </c>
    </row>
    <row r="426" spans="1:6" x14ac:dyDescent="0.35">
      <c r="A426">
        <v>200475</v>
      </c>
      <c r="B426">
        <v>35</v>
      </c>
      <c r="C426" s="1">
        <v>91938.52</v>
      </c>
      <c r="D426">
        <v>26</v>
      </c>
      <c r="E426" s="1">
        <v>71458.73</v>
      </c>
      <c r="F426" s="1">
        <v>163397.25</v>
      </c>
    </row>
    <row r="427" spans="1:6" x14ac:dyDescent="0.35">
      <c r="A427">
        <v>200254</v>
      </c>
      <c r="B427">
        <v>25</v>
      </c>
      <c r="C427" s="1">
        <v>68668.25</v>
      </c>
      <c r="D427">
        <v>35</v>
      </c>
      <c r="E427" s="1">
        <v>94696.04</v>
      </c>
      <c r="F427" s="1">
        <v>163364.28999999899</v>
      </c>
    </row>
    <row r="428" spans="1:6" x14ac:dyDescent="0.35">
      <c r="A428">
        <v>200891</v>
      </c>
      <c r="B428">
        <v>20</v>
      </c>
      <c r="C428" s="1">
        <v>54240.74</v>
      </c>
      <c r="D428">
        <v>43</v>
      </c>
      <c r="E428" s="1">
        <v>109091.86</v>
      </c>
      <c r="F428" s="1">
        <v>163332.6</v>
      </c>
    </row>
    <row r="429" spans="1:6" x14ac:dyDescent="0.35">
      <c r="A429">
        <v>201207</v>
      </c>
      <c r="B429">
        <v>30</v>
      </c>
      <c r="C429" s="1">
        <v>77053.94</v>
      </c>
      <c r="D429">
        <v>34</v>
      </c>
      <c r="E429" s="1">
        <v>86219.9</v>
      </c>
      <c r="F429" s="1">
        <v>163273.84</v>
      </c>
    </row>
    <row r="430" spans="1:6" x14ac:dyDescent="0.35">
      <c r="A430">
        <v>200818</v>
      </c>
      <c r="B430">
        <v>29</v>
      </c>
      <c r="C430" s="1">
        <v>69420.429999999993</v>
      </c>
      <c r="D430">
        <v>37</v>
      </c>
      <c r="E430" s="1">
        <v>93821.77</v>
      </c>
      <c r="F430" s="1">
        <v>163242.20000000001</v>
      </c>
    </row>
    <row r="431" spans="1:6" x14ac:dyDescent="0.35">
      <c r="A431">
        <v>200290</v>
      </c>
      <c r="B431">
        <v>26</v>
      </c>
      <c r="C431" s="1">
        <v>62734.71</v>
      </c>
      <c r="D431">
        <v>36</v>
      </c>
      <c r="E431" s="1">
        <v>100398.85</v>
      </c>
      <c r="F431" s="1">
        <v>163133.56</v>
      </c>
    </row>
    <row r="432" spans="1:6" x14ac:dyDescent="0.35">
      <c r="A432">
        <v>200278</v>
      </c>
      <c r="B432">
        <v>33</v>
      </c>
      <c r="C432" s="1">
        <v>71260.03</v>
      </c>
      <c r="D432">
        <v>37</v>
      </c>
      <c r="E432" s="1">
        <v>91817.59</v>
      </c>
      <c r="F432" s="1">
        <v>163077.62</v>
      </c>
    </row>
    <row r="433" spans="1:6" x14ac:dyDescent="0.35">
      <c r="A433">
        <v>201230</v>
      </c>
      <c r="B433">
        <v>31</v>
      </c>
      <c r="C433" s="1">
        <v>76715.929999999993</v>
      </c>
      <c r="D433">
        <v>28</v>
      </c>
      <c r="E433" s="1">
        <v>86355.6</v>
      </c>
      <c r="F433" s="1">
        <v>163071.53</v>
      </c>
    </row>
    <row r="434" spans="1:6" x14ac:dyDescent="0.35">
      <c r="A434">
        <v>200060</v>
      </c>
      <c r="B434">
        <v>29</v>
      </c>
      <c r="C434" s="1">
        <v>74082.509999999995</v>
      </c>
      <c r="D434">
        <v>34</v>
      </c>
      <c r="E434" s="1">
        <v>88888.54</v>
      </c>
      <c r="F434" s="1">
        <v>162971.04999999999</v>
      </c>
    </row>
    <row r="435" spans="1:6" x14ac:dyDescent="0.35">
      <c r="A435">
        <v>200488</v>
      </c>
      <c r="B435">
        <v>29</v>
      </c>
      <c r="C435" s="1">
        <v>77046.710000000006</v>
      </c>
      <c r="D435">
        <v>28</v>
      </c>
      <c r="E435" s="1">
        <v>85584.08</v>
      </c>
      <c r="F435" s="1">
        <v>162630.79</v>
      </c>
    </row>
    <row r="436" spans="1:6" x14ac:dyDescent="0.35">
      <c r="A436">
        <v>200569</v>
      </c>
      <c r="B436">
        <v>29</v>
      </c>
      <c r="C436" s="1">
        <v>70797.33</v>
      </c>
      <c r="D436">
        <v>37</v>
      </c>
      <c r="E436" s="1">
        <v>91792.29</v>
      </c>
      <c r="F436" s="1">
        <v>162589.62</v>
      </c>
    </row>
    <row r="437" spans="1:6" x14ac:dyDescent="0.35">
      <c r="A437">
        <v>200042</v>
      </c>
      <c r="B437">
        <v>28</v>
      </c>
      <c r="C437" s="1">
        <v>73686.44</v>
      </c>
      <c r="D437">
        <v>32</v>
      </c>
      <c r="E437" s="1">
        <v>88890.99</v>
      </c>
      <c r="F437" s="1">
        <v>162577.43</v>
      </c>
    </row>
    <row r="438" spans="1:6" x14ac:dyDescent="0.35">
      <c r="A438">
        <v>200327</v>
      </c>
      <c r="B438">
        <v>31</v>
      </c>
      <c r="C438" s="1">
        <v>83437.460000000006</v>
      </c>
      <c r="D438">
        <v>28</v>
      </c>
      <c r="E438" s="1">
        <v>79129.78</v>
      </c>
      <c r="F438" s="1">
        <v>162567.24</v>
      </c>
    </row>
    <row r="439" spans="1:6" x14ac:dyDescent="0.35">
      <c r="A439">
        <v>200252</v>
      </c>
      <c r="B439">
        <v>37</v>
      </c>
      <c r="C439" s="1">
        <v>100767.56</v>
      </c>
      <c r="D439">
        <v>27</v>
      </c>
      <c r="E439" s="1">
        <v>61746.87</v>
      </c>
      <c r="F439" s="1">
        <v>162514.43</v>
      </c>
    </row>
    <row r="440" spans="1:6" x14ac:dyDescent="0.35">
      <c r="A440">
        <v>201473</v>
      </c>
      <c r="B440">
        <v>25</v>
      </c>
      <c r="C440" s="1">
        <v>67203.89</v>
      </c>
      <c r="D440">
        <v>36</v>
      </c>
      <c r="E440" s="1">
        <v>95228.57</v>
      </c>
      <c r="F440" s="1">
        <v>162432.46</v>
      </c>
    </row>
    <row r="441" spans="1:6" x14ac:dyDescent="0.35">
      <c r="A441">
        <v>200598</v>
      </c>
      <c r="B441">
        <v>32</v>
      </c>
      <c r="C441" s="1">
        <v>83227.72</v>
      </c>
      <c r="D441">
        <v>29</v>
      </c>
      <c r="E441" s="1">
        <v>79176.06</v>
      </c>
      <c r="F441" s="1">
        <v>162403.78</v>
      </c>
    </row>
    <row r="442" spans="1:6" x14ac:dyDescent="0.35">
      <c r="A442">
        <v>200334</v>
      </c>
      <c r="B442">
        <v>22</v>
      </c>
      <c r="C442" s="1">
        <v>66073.119999999995</v>
      </c>
      <c r="D442">
        <v>36</v>
      </c>
      <c r="E442" s="1">
        <v>96330.4</v>
      </c>
      <c r="F442" s="1">
        <v>162403.51999999999</v>
      </c>
    </row>
    <row r="443" spans="1:6" x14ac:dyDescent="0.35">
      <c r="A443">
        <v>201238</v>
      </c>
      <c r="B443">
        <v>31</v>
      </c>
      <c r="C443" s="1">
        <v>82965.89</v>
      </c>
      <c r="D443">
        <v>33</v>
      </c>
      <c r="E443" s="1">
        <v>79433.17</v>
      </c>
      <c r="F443" s="1">
        <v>162399.06</v>
      </c>
    </row>
    <row r="444" spans="1:6" x14ac:dyDescent="0.35">
      <c r="A444">
        <v>200227</v>
      </c>
      <c r="B444">
        <v>29</v>
      </c>
      <c r="C444" s="1">
        <v>65611.360000000001</v>
      </c>
      <c r="D444">
        <v>36</v>
      </c>
      <c r="E444" s="1">
        <v>96747.46</v>
      </c>
      <c r="F444" s="1">
        <v>162358.82</v>
      </c>
    </row>
    <row r="445" spans="1:6" x14ac:dyDescent="0.35">
      <c r="A445">
        <v>200335</v>
      </c>
      <c r="B445">
        <v>27</v>
      </c>
      <c r="C445" s="1">
        <v>75561.88</v>
      </c>
      <c r="D445">
        <v>34</v>
      </c>
      <c r="E445" s="1">
        <v>86739.45</v>
      </c>
      <c r="F445" s="1">
        <v>162301.32999999999</v>
      </c>
    </row>
    <row r="446" spans="1:6" x14ac:dyDescent="0.35">
      <c r="A446">
        <v>200394</v>
      </c>
      <c r="B446">
        <v>35</v>
      </c>
      <c r="C446" s="1">
        <v>96495.82</v>
      </c>
      <c r="D446">
        <v>27</v>
      </c>
      <c r="E446" s="1">
        <v>65723.289999999994</v>
      </c>
      <c r="F446" s="1">
        <v>162219.10999999999</v>
      </c>
    </row>
    <row r="447" spans="1:6" x14ac:dyDescent="0.35">
      <c r="A447">
        <v>201347</v>
      </c>
      <c r="B447">
        <v>32</v>
      </c>
      <c r="C447" s="1">
        <v>77103.38</v>
      </c>
      <c r="D447">
        <v>31</v>
      </c>
      <c r="E447" s="1">
        <v>85099.72</v>
      </c>
      <c r="F447" s="1">
        <v>162203.1</v>
      </c>
    </row>
    <row r="448" spans="1:6" x14ac:dyDescent="0.35">
      <c r="A448">
        <v>200507</v>
      </c>
      <c r="B448">
        <v>37</v>
      </c>
      <c r="C448" s="1">
        <v>76823.240000000005</v>
      </c>
      <c r="D448">
        <v>32</v>
      </c>
      <c r="E448" s="1">
        <v>85334.56</v>
      </c>
      <c r="F448" s="1">
        <v>162157.79999999999</v>
      </c>
    </row>
    <row r="449" spans="1:6" x14ac:dyDescent="0.35">
      <c r="A449">
        <v>200253</v>
      </c>
      <c r="B449">
        <v>37</v>
      </c>
      <c r="C449" s="1">
        <v>84734.96</v>
      </c>
      <c r="D449">
        <v>33</v>
      </c>
      <c r="E449" s="1">
        <v>77398.28</v>
      </c>
      <c r="F449" s="1">
        <v>162133.24</v>
      </c>
    </row>
    <row r="450" spans="1:6" x14ac:dyDescent="0.35">
      <c r="A450">
        <v>200174</v>
      </c>
      <c r="B450">
        <v>25</v>
      </c>
      <c r="C450" s="1">
        <v>66652.570000000007</v>
      </c>
      <c r="D450">
        <v>38</v>
      </c>
      <c r="E450" s="1">
        <v>95478.7</v>
      </c>
      <c r="F450" s="1">
        <v>162131.26999999999</v>
      </c>
    </row>
    <row r="451" spans="1:6" x14ac:dyDescent="0.35">
      <c r="A451">
        <v>200696</v>
      </c>
      <c r="B451">
        <v>30</v>
      </c>
      <c r="C451" s="1">
        <v>71453.440000000002</v>
      </c>
      <c r="D451">
        <v>31</v>
      </c>
      <c r="E451" s="1">
        <v>90672.38</v>
      </c>
      <c r="F451" s="1">
        <v>162125.82</v>
      </c>
    </row>
    <row r="452" spans="1:6" x14ac:dyDescent="0.35">
      <c r="A452">
        <v>200739</v>
      </c>
      <c r="B452">
        <v>29</v>
      </c>
      <c r="C452" s="1">
        <v>69648.89</v>
      </c>
      <c r="D452">
        <v>33</v>
      </c>
      <c r="E452" s="1">
        <v>92476.4</v>
      </c>
      <c r="F452" s="1">
        <v>162125.28999999899</v>
      </c>
    </row>
    <row r="453" spans="1:6" x14ac:dyDescent="0.35">
      <c r="A453">
        <v>201274</v>
      </c>
      <c r="B453">
        <v>25</v>
      </c>
      <c r="C453" s="1">
        <v>50357.18</v>
      </c>
      <c r="D453">
        <v>41</v>
      </c>
      <c r="E453" s="1">
        <v>111612.94</v>
      </c>
      <c r="F453" s="1">
        <v>161970.12</v>
      </c>
    </row>
    <row r="454" spans="1:6" x14ac:dyDescent="0.35">
      <c r="A454">
        <v>201155</v>
      </c>
      <c r="B454">
        <v>33</v>
      </c>
      <c r="C454" s="1">
        <v>83803.289999999994</v>
      </c>
      <c r="D454">
        <v>30</v>
      </c>
      <c r="E454" s="1">
        <v>78162.16</v>
      </c>
      <c r="F454" s="1">
        <v>161965.45000000001</v>
      </c>
    </row>
    <row r="455" spans="1:6" x14ac:dyDescent="0.35">
      <c r="A455">
        <v>200279</v>
      </c>
      <c r="B455">
        <v>24</v>
      </c>
      <c r="C455" s="1">
        <v>57499.51</v>
      </c>
      <c r="D455">
        <v>37</v>
      </c>
      <c r="E455" s="1">
        <v>104429.11</v>
      </c>
      <c r="F455" s="1">
        <v>161928.62</v>
      </c>
    </row>
    <row r="456" spans="1:6" x14ac:dyDescent="0.35">
      <c r="A456">
        <v>200223</v>
      </c>
      <c r="B456">
        <v>29</v>
      </c>
      <c r="C456" s="1">
        <v>66391.19</v>
      </c>
      <c r="D456">
        <v>39</v>
      </c>
      <c r="E456" s="1">
        <v>95521.19</v>
      </c>
      <c r="F456" s="1">
        <v>161912.38</v>
      </c>
    </row>
    <row r="457" spans="1:6" x14ac:dyDescent="0.35">
      <c r="A457">
        <v>201194</v>
      </c>
      <c r="B457">
        <v>28</v>
      </c>
      <c r="C457" s="1">
        <v>65151.95</v>
      </c>
      <c r="D457">
        <v>31</v>
      </c>
      <c r="E457" s="1">
        <v>96692.41</v>
      </c>
      <c r="F457" s="1">
        <v>161844.35999999999</v>
      </c>
    </row>
    <row r="458" spans="1:6" x14ac:dyDescent="0.35">
      <c r="A458">
        <v>201538</v>
      </c>
      <c r="B458">
        <v>33</v>
      </c>
      <c r="C458" s="1">
        <v>81290.259999999995</v>
      </c>
      <c r="D458">
        <v>29</v>
      </c>
      <c r="E458" s="1">
        <v>80437.33</v>
      </c>
      <c r="F458" s="1">
        <v>161727.59</v>
      </c>
    </row>
    <row r="459" spans="1:6" x14ac:dyDescent="0.35">
      <c r="A459">
        <v>201051</v>
      </c>
      <c r="B459">
        <v>31</v>
      </c>
      <c r="C459" s="1">
        <v>79973.649999999994</v>
      </c>
      <c r="D459">
        <v>30</v>
      </c>
      <c r="E459" s="1">
        <v>81731.14</v>
      </c>
      <c r="F459" s="1">
        <v>161704.78999999899</v>
      </c>
    </row>
    <row r="460" spans="1:6" x14ac:dyDescent="0.35">
      <c r="A460">
        <v>200117</v>
      </c>
      <c r="B460">
        <v>36</v>
      </c>
      <c r="C460" s="1">
        <v>90455.27</v>
      </c>
      <c r="D460">
        <v>30</v>
      </c>
      <c r="E460" s="1">
        <v>71190.789999999994</v>
      </c>
      <c r="F460" s="1">
        <v>161646.06</v>
      </c>
    </row>
    <row r="461" spans="1:6" x14ac:dyDescent="0.35">
      <c r="A461">
        <v>201397</v>
      </c>
      <c r="B461">
        <v>34</v>
      </c>
      <c r="C461" s="1">
        <v>96473.73</v>
      </c>
      <c r="D461">
        <v>24</v>
      </c>
      <c r="E461" s="1">
        <v>65136.480000000003</v>
      </c>
      <c r="F461" s="1">
        <v>161610.21</v>
      </c>
    </row>
    <row r="462" spans="1:6" x14ac:dyDescent="0.35">
      <c r="A462">
        <v>200686</v>
      </c>
      <c r="B462">
        <v>29</v>
      </c>
      <c r="C462" s="1">
        <v>77134.19</v>
      </c>
      <c r="D462">
        <v>37</v>
      </c>
      <c r="E462" s="1">
        <v>84301.23</v>
      </c>
      <c r="F462" s="1">
        <v>161435.41999999899</v>
      </c>
    </row>
    <row r="463" spans="1:6" x14ac:dyDescent="0.35">
      <c r="A463">
        <v>200131</v>
      </c>
      <c r="B463">
        <v>23</v>
      </c>
      <c r="C463" s="1">
        <v>66074.58</v>
      </c>
      <c r="D463">
        <v>36</v>
      </c>
      <c r="E463" s="1">
        <v>95355.48</v>
      </c>
      <c r="F463" s="1">
        <v>161430.06</v>
      </c>
    </row>
    <row r="464" spans="1:6" x14ac:dyDescent="0.35">
      <c r="A464">
        <v>200634</v>
      </c>
      <c r="B464">
        <v>38</v>
      </c>
      <c r="C464" s="1">
        <v>105093.4</v>
      </c>
      <c r="D464">
        <v>25</v>
      </c>
      <c r="E464" s="1">
        <v>56290.63</v>
      </c>
      <c r="F464" s="1">
        <v>161384.03</v>
      </c>
    </row>
    <row r="465" spans="1:6" x14ac:dyDescent="0.35">
      <c r="A465">
        <v>200795</v>
      </c>
      <c r="B465">
        <v>31</v>
      </c>
      <c r="C465" s="1">
        <v>90147.41</v>
      </c>
      <c r="D465">
        <v>28</v>
      </c>
      <c r="E465" s="1">
        <v>71167.97</v>
      </c>
      <c r="F465" s="1">
        <v>161315.38</v>
      </c>
    </row>
    <row r="466" spans="1:6" x14ac:dyDescent="0.35">
      <c r="A466">
        <v>201240</v>
      </c>
      <c r="B466">
        <v>33</v>
      </c>
      <c r="C466" s="1">
        <v>82439.240000000005</v>
      </c>
      <c r="D466">
        <v>29</v>
      </c>
      <c r="E466" s="1">
        <v>78844.800000000003</v>
      </c>
      <c r="F466" s="1">
        <v>161284.04</v>
      </c>
    </row>
    <row r="467" spans="1:6" x14ac:dyDescent="0.35">
      <c r="A467">
        <v>201176</v>
      </c>
      <c r="B467">
        <v>32</v>
      </c>
      <c r="C467" s="1">
        <v>79499.67</v>
      </c>
      <c r="D467">
        <v>32</v>
      </c>
      <c r="E467" s="1">
        <v>81711.94</v>
      </c>
      <c r="F467" s="1">
        <v>161211.60999999999</v>
      </c>
    </row>
    <row r="468" spans="1:6" x14ac:dyDescent="0.35">
      <c r="A468">
        <v>200989</v>
      </c>
      <c r="B468">
        <v>31</v>
      </c>
      <c r="C468" s="1">
        <v>84215.12</v>
      </c>
      <c r="D468">
        <v>28</v>
      </c>
      <c r="E468" s="1">
        <v>76960.649999999994</v>
      </c>
      <c r="F468" s="1">
        <v>161175.76999999999</v>
      </c>
    </row>
    <row r="469" spans="1:6" x14ac:dyDescent="0.35">
      <c r="A469">
        <v>200408</v>
      </c>
      <c r="B469">
        <v>27</v>
      </c>
      <c r="C469" s="1">
        <v>49806.75</v>
      </c>
      <c r="D469">
        <v>40</v>
      </c>
      <c r="E469" s="1">
        <v>111354.62</v>
      </c>
      <c r="F469" s="1">
        <v>161161.37</v>
      </c>
    </row>
    <row r="470" spans="1:6" x14ac:dyDescent="0.35">
      <c r="A470">
        <v>200191</v>
      </c>
      <c r="B470">
        <v>26</v>
      </c>
      <c r="C470" s="1">
        <v>74287.34</v>
      </c>
      <c r="D470">
        <v>36</v>
      </c>
      <c r="E470" s="1">
        <v>86851.4</v>
      </c>
      <c r="F470" s="1">
        <v>161138.74</v>
      </c>
    </row>
    <row r="471" spans="1:6" x14ac:dyDescent="0.35">
      <c r="A471">
        <v>201123</v>
      </c>
      <c r="B471">
        <v>34</v>
      </c>
      <c r="C471" s="1">
        <v>87804.53</v>
      </c>
      <c r="D471">
        <v>29</v>
      </c>
      <c r="E471" s="1">
        <v>73205.19</v>
      </c>
      <c r="F471" s="1">
        <v>161009.72</v>
      </c>
    </row>
    <row r="472" spans="1:6" x14ac:dyDescent="0.35">
      <c r="A472">
        <v>201477</v>
      </c>
      <c r="B472">
        <v>30</v>
      </c>
      <c r="C472" s="1">
        <v>65705.72</v>
      </c>
      <c r="D472">
        <v>35</v>
      </c>
      <c r="E472" s="1">
        <v>95262.35</v>
      </c>
      <c r="F472" s="1">
        <v>160968.07</v>
      </c>
    </row>
    <row r="473" spans="1:6" x14ac:dyDescent="0.35">
      <c r="A473">
        <v>200691</v>
      </c>
      <c r="B473">
        <v>28</v>
      </c>
      <c r="C473" s="1">
        <v>57996.93</v>
      </c>
      <c r="D473">
        <v>36</v>
      </c>
      <c r="E473" s="1">
        <v>102954.87</v>
      </c>
      <c r="F473" s="1">
        <v>160951.79999999999</v>
      </c>
    </row>
    <row r="474" spans="1:6" x14ac:dyDescent="0.35">
      <c r="A474">
        <v>201021</v>
      </c>
      <c r="B474">
        <v>33</v>
      </c>
      <c r="C474" s="1">
        <v>94291.59</v>
      </c>
      <c r="D474">
        <v>25</v>
      </c>
      <c r="E474" s="1">
        <v>66636.44</v>
      </c>
      <c r="F474" s="1">
        <v>160928.03</v>
      </c>
    </row>
    <row r="475" spans="1:6" x14ac:dyDescent="0.35">
      <c r="A475">
        <v>200638</v>
      </c>
      <c r="B475">
        <v>31</v>
      </c>
      <c r="C475" s="1">
        <v>80827.69</v>
      </c>
      <c r="D475">
        <v>31</v>
      </c>
      <c r="E475" s="1">
        <v>80082.460000000006</v>
      </c>
      <c r="F475" s="1">
        <v>160910.15</v>
      </c>
    </row>
    <row r="476" spans="1:6" x14ac:dyDescent="0.35">
      <c r="A476">
        <v>200932</v>
      </c>
      <c r="B476">
        <v>31</v>
      </c>
      <c r="C476" s="1">
        <v>86796.45</v>
      </c>
      <c r="D476">
        <v>29</v>
      </c>
      <c r="E476" s="1">
        <v>74091.539999999994</v>
      </c>
      <c r="F476" s="1">
        <v>160887.99</v>
      </c>
    </row>
    <row r="477" spans="1:6" x14ac:dyDescent="0.35">
      <c r="A477">
        <v>201249</v>
      </c>
      <c r="B477">
        <v>30</v>
      </c>
      <c r="C477" s="1">
        <v>72164.45</v>
      </c>
      <c r="D477">
        <v>36</v>
      </c>
      <c r="E477" s="1">
        <v>88719.73</v>
      </c>
      <c r="F477" s="1">
        <v>160884.18</v>
      </c>
    </row>
    <row r="478" spans="1:6" x14ac:dyDescent="0.35">
      <c r="A478">
        <v>200197</v>
      </c>
      <c r="B478">
        <v>30</v>
      </c>
      <c r="C478" s="1">
        <v>77966.36</v>
      </c>
      <c r="D478">
        <v>31</v>
      </c>
      <c r="E478" s="1">
        <v>82911.53</v>
      </c>
      <c r="F478" s="1">
        <v>160877.89000000001</v>
      </c>
    </row>
    <row r="479" spans="1:6" x14ac:dyDescent="0.35">
      <c r="A479">
        <v>200770</v>
      </c>
      <c r="B479">
        <v>32</v>
      </c>
      <c r="C479" s="1">
        <v>67412.929999999993</v>
      </c>
      <c r="D479">
        <v>37</v>
      </c>
      <c r="E479" s="1">
        <v>93459.4</v>
      </c>
      <c r="F479" s="1">
        <v>160872.32999999999</v>
      </c>
    </row>
    <row r="480" spans="1:6" x14ac:dyDescent="0.35">
      <c r="A480">
        <v>201180</v>
      </c>
      <c r="B480">
        <v>24</v>
      </c>
      <c r="C480" s="1">
        <v>65777.89</v>
      </c>
      <c r="D480">
        <v>37</v>
      </c>
      <c r="E480" s="1">
        <v>95060.21</v>
      </c>
      <c r="F480" s="1">
        <v>160838.1</v>
      </c>
    </row>
    <row r="481" spans="1:6" x14ac:dyDescent="0.35">
      <c r="A481">
        <v>200190</v>
      </c>
      <c r="B481">
        <v>25</v>
      </c>
      <c r="C481" s="1">
        <v>68938.77</v>
      </c>
      <c r="D481">
        <v>40</v>
      </c>
      <c r="E481" s="1">
        <v>91894.99</v>
      </c>
      <c r="F481" s="1">
        <v>160833.76</v>
      </c>
    </row>
    <row r="482" spans="1:6" x14ac:dyDescent="0.35">
      <c r="A482">
        <v>201047</v>
      </c>
      <c r="B482">
        <v>37</v>
      </c>
      <c r="C482" s="1">
        <v>88251.67</v>
      </c>
      <c r="D482">
        <v>28</v>
      </c>
      <c r="E482" s="1">
        <v>72572.03</v>
      </c>
      <c r="F482" s="1">
        <v>160823.70000000001</v>
      </c>
    </row>
    <row r="483" spans="1:6" x14ac:dyDescent="0.35">
      <c r="A483">
        <v>201142</v>
      </c>
      <c r="B483">
        <v>34</v>
      </c>
      <c r="C483" s="1">
        <v>72383.77</v>
      </c>
      <c r="D483">
        <v>36</v>
      </c>
      <c r="E483" s="1">
        <v>88345.85</v>
      </c>
      <c r="F483" s="1">
        <v>160729.62</v>
      </c>
    </row>
    <row r="484" spans="1:6" x14ac:dyDescent="0.35">
      <c r="A484">
        <v>200667</v>
      </c>
      <c r="B484">
        <v>29</v>
      </c>
      <c r="C484" s="1">
        <v>77530.850000000006</v>
      </c>
      <c r="D484">
        <v>32</v>
      </c>
      <c r="E484" s="1">
        <v>83190.509999999995</v>
      </c>
      <c r="F484" s="1">
        <v>160721.35999999999</v>
      </c>
    </row>
    <row r="485" spans="1:6" x14ac:dyDescent="0.35">
      <c r="A485">
        <v>201485</v>
      </c>
      <c r="B485">
        <v>34</v>
      </c>
      <c r="C485" s="1">
        <v>77886.55</v>
      </c>
      <c r="D485">
        <v>34</v>
      </c>
      <c r="E485" s="1">
        <v>82782.899999999994</v>
      </c>
      <c r="F485" s="1">
        <v>160669.45000000001</v>
      </c>
    </row>
    <row r="486" spans="1:6" x14ac:dyDescent="0.35">
      <c r="A486">
        <v>200353</v>
      </c>
      <c r="B486">
        <v>33</v>
      </c>
      <c r="C486" s="1">
        <v>84424</v>
      </c>
      <c r="D486">
        <v>33</v>
      </c>
      <c r="E486" s="1">
        <v>76228.479999999996</v>
      </c>
      <c r="F486" s="1">
        <v>160652.47999999899</v>
      </c>
    </row>
    <row r="487" spans="1:6" x14ac:dyDescent="0.35">
      <c r="A487">
        <v>201377</v>
      </c>
      <c r="B487">
        <v>29</v>
      </c>
      <c r="C487" s="1">
        <v>77650.149999999994</v>
      </c>
      <c r="D487">
        <v>31</v>
      </c>
      <c r="E487" s="1">
        <v>83002.02</v>
      </c>
      <c r="F487" s="1">
        <v>160652.16999999899</v>
      </c>
    </row>
    <row r="488" spans="1:6" x14ac:dyDescent="0.35">
      <c r="A488">
        <v>200154</v>
      </c>
      <c r="B488">
        <v>32</v>
      </c>
      <c r="C488" s="1">
        <v>78037.23</v>
      </c>
      <c r="D488">
        <v>35</v>
      </c>
      <c r="E488" s="1">
        <v>82535.47</v>
      </c>
      <c r="F488" s="1">
        <v>160572.70000000001</v>
      </c>
    </row>
    <row r="489" spans="1:6" x14ac:dyDescent="0.35">
      <c r="A489">
        <v>201285</v>
      </c>
      <c r="B489">
        <v>36</v>
      </c>
      <c r="C489" s="1">
        <v>82795.66</v>
      </c>
      <c r="D489">
        <v>31</v>
      </c>
      <c r="E489" s="1">
        <v>77694.399999999994</v>
      </c>
      <c r="F489" s="1">
        <v>160490.06</v>
      </c>
    </row>
    <row r="490" spans="1:6" x14ac:dyDescent="0.35">
      <c r="A490">
        <v>201370</v>
      </c>
      <c r="B490">
        <v>36</v>
      </c>
      <c r="C490" s="1">
        <v>82337.81</v>
      </c>
      <c r="D490">
        <v>34</v>
      </c>
      <c r="E490" s="1">
        <v>78149.919999999998</v>
      </c>
      <c r="F490" s="1">
        <v>160487.72999999899</v>
      </c>
    </row>
    <row r="491" spans="1:6" x14ac:dyDescent="0.35">
      <c r="A491">
        <v>200504</v>
      </c>
      <c r="B491">
        <v>37</v>
      </c>
      <c r="C491" s="1">
        <v>83746.5</v>
      </c>
      <c r="D491">
        <v>33</v>
      </c>
      <c r="E491" s="1">
        <v>76701.36</v>
      </c>
      <c r="F491" s="1">
        <v>160447.85999999999</v>
      </c>
    </row>
    <row r="492" spans="1:6" x14ac:dyDescent="0.35">
      <c r="A492">
        <v>200099</v>
      </c>
      <c r="B492">
        <v>32</v>
      </c>
      <c r="C492" s="1">
        <v>96269.64</v>
      </c>
      <c r="D492">
        <v>24</v>
      </c>
      <c r="E492" s="1">
        <v>64169.85</v>
      </c>
      <c r="F492" s="1">
        <v>160439.49</v>
      </c>
    </row>
    <row r="493" spans="1:6" x14ac:dyDescent="0.35">
      <c r="A493">
        <v>200160</v>
      </c>
      <c r="B493">
        <v>25</v>
      </c>
      <c r="C493" s="1">
        <v>58957.63</v>
      </c>
      <c r="D493">
        <v>38</v>
      </c>
      <c r="E493" s="1">
        <v>101402.08</v>
      </c>
      <c r="F493" s="1">
        <v>160359.71</v>
      </c>
    </row>
    <row r="494" spans="1:6" x14ac:dyDescent="0.35">
      <c r="A494">
        <v>200057</v>
      </c>
      <c r="B494">
        <v>36</v>
      </c>
      <c r="C494" s="1">
        <v>86334.33</v>
      </c>
      <c r="D494">
        <v>28</v>
      </c>
      <c r="E494" s="1">
        <v>74003.649999999994</v>
      </c>
      <c r="F494" s="1">
        <v>160337.97999999899</v>
      </c>
    </row>
    <row r="495" spans="1:6" x14ac:dyDescent="0.35">
      <c r="A495">
        <v>200754</v>
      </c>
      <c r="B495">
        <v>33</v>
      </c>
      <c r="C495" s="1">
        <v>91883.07</v>
      </c>
      <c r="D495">
        <v>29</v>
      </c>
      <c r="E495" s="1">
        <v>68381.98</v>
      </c>
      <c r="F495" s="1">
        <v>160265.04999999999</v>
      </c>
    </row>
    <row r="496" spans="1:6" x14ac:dyDescent="0.35">
      <c r="A496">
        <v>200866</v>
      </c>
      <c r="B496">
        <v>30</v>
      </c>
      <c r="C496" s="1">
        <v>86125.119999999995</v>
      </c>
      <c r="D496">
        <v>27</v>
      </c>
      <c r="E496" s="1">
        <v>74129.94</v>
      </c>
      <c r="F496" s="1">
        <v>160255.06</v>
      </c>
    </row>
    <row r="497" spans="1:6" x14ac:dyDescent="0.35">
      <c r="A497">
        <v>200899</v>
      </c>
      <c r="B497">
        <v>39</v>
      </c>
      <c r="C497" s="1">
        <v>95501.119999999995</v>
      </c>
      <c r="D497">
        <v>32</v>
      </c>
      <c r="E497" s="1">
        <v>64749.55</v>
      </c>
      <c r="F497" s="1">
        <v>160250.66999999899</v>
      </c>
    </row>
    <row r="498" spans="1:6" x14ac:dyDescent="0.35">
      <c r="A498">
        <v>201488</v>
      </c>
      <c r="B498">
        <v>33</v>
      </c>
      <c r="C498" s="1">
        <v>81728.460000000006</v>
      </c>
      <c r="D498">
        <v>29</v>
      </c>
      <c r="E498" s="1">
        <v>78397.289999999994</v>
      </c>
      <c r="F498" s="1">
        <v>160125.75</v>
      </c>
    </row>
    <row r="499" spans="1:6" x14ac:dyDescent="0.35">
      <c r="A499">
        <v>201361</v>
      </c>
      <c r="B499">
        <v>31</v>
      </c>
      <c r="C499" s="1">
        <v>82915.240000000005</v>
      </c>
      <c r="D499">
        <v>31</v>
      </c>
      <c r="E499" s="1">
        <v>77154.11</v>
      </c>
      <c r="F499" s="1">
        <v>160069.35</v>
      </c>
    </row>
    <row r="500" spans="1:6" x14ac:dyDescent="0.35">
      <c r="A500">
        <v>200923</v>
      </c>
      <c r="B500">
        <v>37</v>
      </c>
      <c r="C500" s="1">
        <v>83490.259999999995</v>
      </c>
      <c r="D500">
        <v>32</v>
      </c>
      <c r="E500" s="1">
        <v>76568.03</v>
      </c>
      <c r="F500" s="1">
        <v>160058.28999999899</v>
      </c>
    </row>
    <row r="501" spans="1:6" x14ac:dyDescent="0.35">
      <c r="A501">
        <v>201484</v>
      </c>
      <c r="B501">
        <v>32</v>
      </c>
      <c r="C501" s="1">
        <v>87795.839999999997</v>
      </c>
      <c r="D501">
        <v>27</v>
      </c>
      <c r="E501" s="1">
        <v>72201.210000000006</v>
      </c>
      <c r="F501" s="1">
        <v>159997.04999999999</v>
      </c>
    </row>
    <row r="502" spans="1:6" x14ac:dyDescent="0.35">
      <c r="A502">
        <v>200206</v>
      </c>
      <c r="B502">
        <v>36</v>
      </c>
      <c r="C502" s="1">
        <v>85573.86</v>
      </c>
      <c r="D502">
        <v>30</v>
      </c>
      <c r="E502" s="1">
        <v>74372.160000000003</v>
      </c>
      <c r="F502" s="1">
        <v>159946.01999999999</v>
      </c>
    </row>
    <row r="503" spans="1:6" x14ac:dyDescent="0.35">
      <c r="A503">
        <v>200562</v>
      </c>
      <c r="B503">
        <v>32</v>
      </c>
      <c r="C503" s="1">
        <v>89139.5</v>
      </c>
      <c r="D503">
        <v>27</v>
      </c>
      <c r="E503" s="1">
        <v>70695.460000000006</v>
      </c>
      <c r="F503" s="1">
        <v>159834.96</v>
      </c>
    </row>
    <row r="504" spans="1:6" x14ac:dyDescent="0.35">
      <c r="A504">
        <v>200053</v>
      </c>
      <c r="B504">
        <v>29</v>
      </c>
      <c r="C504" s="1">
        <v>68753.600000000006</v>
      </c>
      <c r="D504">
        <v>36</v>
      </c>
      <c r="E504" s="1">
        <v>91049.3</v>
      </c>
      <c r="F504" s="1">
        <v>159802.9</v>
      </c>
    </row>
    <row r="505" spans="1:6" x14ac:dyDescent="0.35">
      <c r="A505">
        <v>200931</v>
      </c>
      <c r="B505">
        <v>33</v>
      </c>
      <c r="C505" s="1">
        <v>81325.509999999995</v>
      </c>
      <c r="D505">
        <v>32</v>
      </c>
      <c r="E505" s="1">
        <v>78406.42</v>
      </c>
      <c r="F505" s="1">
        <v>159731.93</v>
      </c>
    </row>
    <row r="506" spans="1:6" x14ac:dyDescent="0.35">
      <c r="A506">
        <v>201424</v>
      </c>
      <c r="B506">
        <v>26</v>
      </c>
      <c r="C506" s="1">
        <v>65923.5</v>
      </c>
      <c r="D506">
        <v>33</v>
      </c>
      <c r="E506" s="1">
        <v>93747.7</v>
      </c>
      <c r="F506" s="1">
        <v>159671.20000000001</v>
      </c>
    </row>
    <row r="507" spans="1:6" x14ac:dyDescent="0.35">
      <c r="A507">
        <v>200723</v>
      </c>
      <c r="B507">
        <v>39</v>
      </c>
      <c r="C507" s="1">
        <v>99950.53</v>
      </c>
      <c r="D507">
        <v>27</v>
      </c>
      <c r="E507" s="1">
        <v>59675.61</v>
      </c>
      <c r="F507" s="1">
        <v>159626.14000000001</v>
      </c>
    </row>
    <row r="508" spans="1:6" x14ac:dyDescent="0.35">
      <c r="A508">
        <v>201562</v>
      </c>
      <c r="B508">
        <v>32</v>
      </c>
      <c r="C508" s="1">
        <v>91187.3</v>
      </c>
      <c r="D508">
        <v>27</v>
      </c>
      <c r="E508" s="1">
        <v>68425.53</v>
      </c>
      <c r="F508" s="1">
        <v>159612.82999999999</v>
      </c>
    </row>
    <row r="509" spans="1:6" x14ac:dyDescent="0.35">
      <c r="A509">
        <v>200522</v>
      </c>
      <c r="B509">
        <v>32</v>
      </c>
      <c r="C509" s="1">
        <v>83670.820000000007</v>
      </c>
      <c r="D509">
        <v>32</v>
      </c>
      <c r="E509" s="1">
        <v>75877.539999999994</v>
      </c>
      <c r="F509" s="1">
        <v>159548.35999999999</v>
      </c>
    </row>
    <row r="510" spans="1:6" x14ac:dyDescent="0.35">
      <c r="A510">
        <v>200620</v>
      </c>
      <c r="B510">
        <v>30</v>
      </c>
      <c r="C510" s="1">
        <v>68586.559999999998</v>
      </c>
      <c r="D510">
        <v>31</v>
      </c>
      <c r="E510" s="1">
        <v>90932.99</v>
      </c>
      <c r="F510" s="1">
        <v>159519.54999999999</v>
      </c>
    </row>
    <row r="511" spans="1:6" x14ac:dyDescent="0.35">
      <c r="A511">
        <v>201221</v>
      </c>
      <c r="B511">
        <v>27</v>
      </c>
      <c r="C511" s="1">
        <v>70670.83</v>
      </c>
      <c r="D511">
        <v>37</v>
      </c>
      <c r="E511" s="1">
        <v>88831.73</v>
      </c>
      <c r="F511" s="1">
        <v>159502.56</v>
      </c>
    </row>
    <row r="512" spans="1:6" x14ac:dyDescent="0.35">
      <c r="A512">
        <v>200990</v>
      </c>
      <c r="B512">
        <v>35</v>
      </c>
      <c r="C512" s="1">
        <v>68510.03</v>
      </c>
      <c r="D512">
        <v>32</v>
      </c>
      <c r="E512" s="1">
        <v>90976.78</v>
      </c>
      <c r="F512" s="1">
        <v>159486.81</v>
      </c>
    </row>
    <row r="513" spans="1:6" x14ac:dyDescent="0.35">
      <c r="A513">
        <v>200851</v>
      </c>
      <c r="B513">
        <v>29</v>
      </c>
      <c r="C513" s="1">
        <v>69985.88</v>
      </c>
      <c r="D513">
        <v>37</v>
      </c>
      <c r="E513" s="1">
        <v>89487.83</v>
      </c>
      <c r="F513" s="1">
        <v>159473.71</v>
      </c>
    </row>
    <row r="514" spans="1:6" x14ac:dyDescent="0.35">
      <c r="A514">
        <v>201130</v>
      </c>
      <c r="B514">
        <v>37</v>
      </c>
      <c r="C514" s="1">
        <v>115050.95</v>
      </c>
      <c r="D514">
        <v>19</v>
      </c>
      <c r="E514" s="1">
        <v>44326.89</v>
      </c>
      <c r="F514" s="1">
        <v>159377.84</v>
      </c>
    </row>
    <row r="515" spans="1:6" x14ac:dyDescent="0.35">
      <c r="A515">
        <v>201615</v>
      </c>
      <c r="B515">
        <v>42</v>
      </c>
      <c r="C515" s="1">
        <v>101630.06</v>
      </c>
      <c r="D515">
        <v>19</v>
      </c>
      <c r="E515" s="1">
        <v>57723.68</v>
      </c>
      <c r="F515" s="1">
        <v>159353.74</v>
      </c>
    </row>
    <row r="516" spans="1:6" x14ac:dyDescent="0.35">
      <c r="A516">
        <v>200249</v>
      </c>
      <c r="B516">
        <v>35</v>
      </c>
      <c r="C516" s="1">
        <v>91920.07</v>
      </c>
      <c r="D516">
        <v>25</v>
      </c>
      <c r="E516" s="1">
        <v>67412.350000000006</v>
      </c>
      <c r="F516" s="1">
        <v>159332.42000000001</v>
      </c>
    </row>
    <row r="517" spans="1:6" x14ac:dyDescent="0.35">
      <c r="A517">
        <v>200199</v>
      </c>
      <c r="B517">
        <v>29</v>
      </c>
      <c r="C517" s="1">
        <v>59368.57</v>
      </c>
      <c r="D517">
        <v>42</v>
      </c>
      <c r="E517" s="1">
        <v>99893.58</v>
      </c>
      <c r="F517" s="1">
        <v>159262.15</v>
      </c>
    </row>
    <row r="518" spans="1:6" x14ac:dyDescent="0.35">
      <c r="A518">
        <v>200978</v>
      </c>
      <c r="B518">
        <v>22</v>
      </c>
      <c r="C518" s="1">
        <v>54620.9</v>
      </c>
      <c r="D518">
        <v>42</v>
      </c>
      <c r="E518" s="1">
        <v>104565.98</v>
      </c>
      <c r="F518" s="1">
        <v>159186.88</v>
      </c>
    </row>
    <row r="519" spans="1:6" x14ac:dyDescent="0.35">
      <c r="A519">
        <v>201324</v>
      </c>
      <c r="B519">
        <v>40</v>
      </c>
      <c r="C519" s="1">
        <v>100977.83</v>
      </c>
      <c r="D519">
        <v>25</v>
      </c>
      <c r="E519" s="1">
        <v>58207</v>
      </c>
      <c r="F519" s="1">
        <v>159184.82999999999</v>
      </c>
    </row>
    <row r="520" spans="1:6" x14ac:dyDescent="0.35">
      <c r="A520">
        <v>201499</v>
      </c>
      <c r="B520">
        <v>25</v>
      </c>
      <c r="C520" s="1">
        <v>66567.06</v>
      </c>
      <c r="D520">
        <v>34</v>
      </c>
      <c r="E520" s="1">
        <v>92593.68</v>
      </c>
      <c r="F520" s="1">
        <v>159160.74</v>
      </c>
    </row>
    <row r="521" spans="1:6" x14ac:dyDescent="0.35">
      <c r="A521">
        <v>200244</v>
      </c>
      <c r="B521">
        <v>28</v>
      </c>
      <c r="C521" s="1">
        <v>66214.59</v>
      </c>
      <c r="D521">
        <v>34</v>
      </c>
      <c r="E521" s="1">
        <v>92879.87</v>
      </c>
      <c r="F521" s="1">
        <v>159094.46</v>
      </c>
    </row>
    <row r="522" spans="1:6" x14ac:dyDescent="0.35">
      <c r="A522">
        <v>200067</v>
      </c>
      <c r="B522">
        <v>33</v>
      </c>
      <c r="C522" s="1">
        <v>84366.52</v>
      </c>
      <c r="D522">
        <v>27</v>
      </c>
      <c r="E522" s="1">
        <v>74637.929999999993</v>
      </c>
      <c r="F522" s="1">
        <v>159004.45000000001</v>
      </c>
    </row>
    <row r="523" spans="1:6" x14ac:dyDescent="0.35">
      <c r="A523">
        <v>200622</v>
      </c>
      <c r="B523">
        <v>29</v>
      </c>
      <c r="C523" s="1">
        <v>73115.820000000007</v>
      </c>
      <c r="D523">
        <v>30</v>
      </c>
      <c r="E523" s="1">
        <v>85880.74</v>
      </c>
      <c r="F523" s="1">
        <v>158996.56</v>
      </c>
    </row>
    <row r="524" spans="1:6" x14ac:dyDescent="0.35">
      <c r="A524">
        <v>201644</v>
      </c>
      <c r="B524">
        <v>28</v>
      </c>
      <c r="C524" s="1">
        <v>74912.22</v>
      </c>
      <c r="D524">
        <v>34</v>
      </c>
      <c r="E524" s="1">
        <v>84080.69</v>
      </c>
      <c r="F524" s="1">
        <v>158992.91</v>
      </c>
    </row>
    <row r="525" spans="1:6" x14ac:dyDescent="0.35">
      <c r="A525">
        <v>201105</v>
      </c>
      <c r="B525">
        <v>34</v>
      </c>
      <c r="C525" s="1">
        <v>91655.57</v>
      </c>
      <c r="D525">
        <v>28</v>
      </c>
      <c r="E525" s="1">
        <v>67236.78</v>
      </c>
      <c r="F525" s="1">
        <v>158892.35</v>
      </c>
    </row>
    <row r="526" spans="1:6" x14ac:dyDescent="0.35">
      <c r="A526">
        <v>200601</v>
      </c>
      <c r="B526">
        <v>30</v>
      </c>
      <c r="C526" s="1">
        <v>72426.17</v>
      </c>
      <c r="D526">
        <v>31</v>
      </c>
      <c r="E526" s="1">
        <v>86424.320000000007</v>
      </c>
      <c r="F526" s="1">
        <v>158850.49</v>
      </c>
    </row>
    <row r="527" spans="1:6" x14ac:dyDescent="0.35">
      <c r="A527">
        <v>200193</v>
      </c>
      <c r="B527">
        <v>28</v>
      </c>
      <c r="C527" s="1">
        <v>73072.52</v>
      </c>
      <c r="D527">
        <v>35</v>
      </c>
      <c r="E527" s="1">
        <v>85773.91</v>
      </c>
      <c r="F527" s="1">
        <v>158846.43</v>
      </c>
    </row>
    <row r="528" spans="1:6" x14ac:dyDescent="0.35">
      <c r="A528">
        <v>200218</v>
      </c>
      <c r="B528">
        <v>19</v>
      </c>
      <c r="C528" s="1">
        <v>41898.97</v>
      </c>
      <c r="D528">
        <v>40</v>
      </c>
      <c r="E528" s="1">
        <v>116932.84</v>
      </c>
      <c r="F528" s="1">
        <v>158831.81</v>
      </c>
    </row>
    <row r="529" spans="1:6" x14ac:dyDescent="0.35">
      <c r="A529">
        <v>200271</v>
      </c>
      <c r="B529">
        <v>31</v>
      </c>
      <c r="C529" s="1">
        <v>84436.08</v>
      </c>
      <c r="D529">
        <v>29</v>
      </c>
      <c r="E529" s="1">
        <v>74391.77</v>
      </c>
      <c r="F529" s="1">
        <v>158827.85</v>
      </c>
    </row>
    <row r="530" spans="1:6" x14ac:dyDescent="0.35">
      <c r="A530">
        <v>201573</v>
      </c>
      <c r="B530">
        <v>35</v>
      </c>
      <c r="C530" s="1">
        <v>91110.33</v>
      </c>
      <c r="D530">
        <v>32</v>
      </c>
      <c r="E530" s="1">
        <v>67689.990000000005</v>
      </c>
      <c r="F530" s="1">
        <v>158800.32000000001</v>
      </c>
    </row>
    <row r="531" spans="1:6" x14ac:dyDescent="0.35">
      <c r="A531">
        <v>200453</v>
      </c>
      <c r="B531">
        <v>35</v>
      </c>
      <c r="C531" s="1">
        <v>93982.56</v>
      </c>
      <c r="D531">
        <v>26</v>
      </c>
      <c r="E531" s="1">
        <v>64811.15</v>
      </c>
      <c r="F531" s="1">
        <v>158793.71</v>
      </c>
    </row>
    <row r="532" spans="1:6" x14ac:dyDescent="0.35">
      <c r="A532">
        <v>200501</v>
      </c>
      <c r="B532">
        <v>32</v>
      </c>
      <c r="C532" s="1">
        <v>76953.7</v>
      </c>
      <c r="D532">
        <v>30</v>
      </c>
      <c r="E532" s="1">
        <v>81806.39</v>
      </c>
      <c r="F532" s="1">
        <v>158760.09</v>
      </c>
    </row>
    <row r="533" spans="1:6" x14ac:dyDescent="0.35">
      <c r="A533">
        <v>201479</v>
      </c>
      <c r="B533">
        <v>27</v>
      </c>
      <c r="C533" s="1">
        <v>68773.119999999995</v>
      </c>
      <c r="D533">
        <v>36</v>
      </c>
      <c r="E533" s="1">
        <v>89955.06</v>
      </c>
      <c r="F533" s="1">
        <v>158728.18</v>
      </c>
    </row>
    <row r="534" spans="1:6" x14ac:dyDescent="0.35">
      <c r="A534">
        <v>200849</v>
      </c>
      <c r="B534">
        <v>22</v>
      </c>
      <c r="C534" s="1">
        <v>53214.2</v>
      </c>
      <c r="D534">
        <v>37</v>
      </c>
      <c r="E534" s="1">
        <v>105448.34</v>
      </c>
      <c r="F534" s="1">
        <v>158662.53999999899</v>
      </c>
    </row>
    <row r="535" spans="1:6" x14ac:dyDescent="0.35">
      <c r="A535">
        <v>200939</v>
      </c>
      <c r="B535">
        <v>30</v>
      </c>
      <c r="C535" s="1">
        <v>85633.31</v>
      </c>
      <c r="D535">
        <v>25</v>
      </c>
      <c r="E535" s="1">
        <v>72911.600000000006</v>
      </c>
      <c r="F535" s="1">
        <v>158544.91</v>
      </c>
    </row>
    <row r="536" spans="1:6" x14ac:dyDescent="0.35">
      <c r="A536">
        <v>201631</v>
      </c>
      <c r="B536">
        <v>34</v>
      </c>
      <c r="C536" s="1">
        <v>76982.13</v>
      </c>
      <c r="D536">
        <v>33</v>
      </c>
      <c r="E536" s="1">
        <v>81538.320000000007</v>
      </c>
      <c r="F536" s="1">
        <v>158520.45000000001</v>
      </c>
    </row>
    <row r="537" spans="1:6" x14ac:dyDescent="0.35">
      <c r="A537">
        <v>201566</v>
      </c>
      <c r="B537">
        <v>28</v>
      </c>
      <c r="C537" s="1">
        <v>75480.2</v>
      </c>
      <c r="D537">
        <v>29</v>
      </c>
      <c r="E537" s="1">
        <v>83011.05</v>
      </c>
      <c r="F537" s="1">
        <v>158491.25</v>
      </c>
    </row>
    <row r="538" spans="1:6" x14ac:dyDescent="0.35">
      <c r="A538">
        <v>200315</v>
      </c>
      <c r="B538">
        <v>33</v>
      </c>
      <c r="C538" s="1">
        <v>87612.14</v>
      </c>
      <c r="D538">
        <v>29</v>
      </c>
      <c r="E538" s="1">
        <v>70868.14</v>
      </c>
      <c r="F538" s="1">
        <v>158480.28</v>
      </c>
    </row>
    <row r="539" spans="1:6" x14ac:dyDescent="0.35">
      <c r="A539">
        <v>201101</v>
      </c>
      <c r="B539">
        <v>33</v>
      </c>
      <c r="C539" s="1">
        <v>83560.53</v>
      </c>
      <c r="D539">
        <v>28</v>
      </c>
      <c r="E539" s="1">
        <v>74919.5</v>
      </c>
      <c r="F539" s="1">
        <v>158480.03</v>
      </c>
    </row>
    <row r="540" spans="1:6" x14ac:dyDescent="0.35">
      <c r="A540">
        <v>200037</v>
      </c>
      <c r="B540">
        <v>39</v>
      </c>
      <c r="C540" s="1">
        <v>99418.26</v>
      </c>
      <c r="D540">
        <v>29</v>
      </c>
      <c r="E540" s="1">
        <v>58842.21</v>
      </c>
      <c r="F540" s="1">
        <v>158260.47</v>
      </c>
    </row>
    <row r="541" spans="1:6" x14ac:dyDescent="0.35">
      <c r="A541">
        <v>200812</v>
      </c>
      <c r="B541">
        <v>33</v>
      </c>
      <c r="C541" s="1">
        <v>102716.59</v>
      </c>
      <c r="D541">
        <v>22</v>
      </c>
      <c r="E541" s="1">
        <v>55537.07</v>
      </c>
      <c r="F541" s="1">
        <v>158253.66</v>
      </c>
    </row>
    <row r="542" spans="1:6" x14ac:dyDescent="0.35">
      <c r="A542">
        <v>201634</v>
      </c>
      <c r="B542">
        <v>40</v>
      </c>
      <c r="C542" s="1">
        <v>84866.28</v>
      </c>
      <c r="D542">
        <v>27</v>
      </c>
      <c r="E542" s="1">
        <v>73341.47</v>
      </c>
      <c r="F542" s="1">
        <v>158207.75</v>
      </c>
    </row>
    <row r="543" spans="1:6" x14ac:dyDescent="0.35">
      <c r="A543">
        <v>201160</v>
      </c>
      <c r="B543">
        <v>36</v>
      </c>
      <c r="C543" s="1">
        <v>81668.039999999994</v>
      </c>
      <c r="D543">
        <v>30</v>
      </c>
      <c r="E543" s="1">
        <v>76474.2</v>
      </c>
      <c r="F543" s="1">
        <v>158142.24</v>
      </c>
    </row>
    <row r="544" spans="1:6" x14ac:dyDescent="0.35">
      <c r="A544">
        <v>201558</v>
      </c>
      <c r="B544">
        <v>27</v>
      </c>
      <c r="C544" s="1">
        <v>78933.38</v>
      </c>
      <c r="D544">
        <v>34</v>
      </c>
      <c r="E544" s="1">
        <v>79157.67</v>
      </c>
      <c r="F544" s="1">
        <v>158091.04999999999</v>
      </c>
    </row>
    <row r="545" spans="1:6" x14ac:dyDescent="0.35">
      <c r="A545">
        <v>200797</v>
      </c>
      <c r="B545">
        <v>31</v>
      </c>
      <c r="C545" s="1">
        <v>88096.61</v>
      </c>
      <c r="D545">
        <v>31</v>
      </c>
      <c r="E545" s="1">
        <v>69971.25</v>
      </c>
      <c r="F545" s="1">
        <v>158067.85999999999</v>
      </c>
    </row>
    <row r="546" spans="1:6" x14ac:dyDescent="0.35">
      <c r="A546">
        <v>200642</v>
      </c>
      <c r="B546">
        <v>33</v>
      </c>
      <c r="C546" s="1">
        <v>84556.84</v>
      </c>
      <c r="D546">
        <v>33</v>
      </c>
      <c r="E546" s="1">
        <v>73490.539999999994</v>
      </c>
      <c r="F546" s="1">
        <v>158047.38</v>
      </c>
    </row>
    <row r="547" spans="1:6" x14ac:dyDescent="0.35">
      <c r="A547">
        <v>201416</v>
      </c>
      <c r="B547">
        <v>32</v>
      </c>
      <c r="C547" s="1">
        <v>80087.77</v>
      </c>
      <c r="D547">
        <v>33</v>
      </c>
      <c r="E547" s="1">
        <v>77882.06</v>
      </c>
      <c r="F547" s="1">
        <v>157969.82999999999</v>
      </c>
    </row>
    <row r="548" spans="1:6" x14ac:dyDescent="0.35">
      <c r="A548">
        <v>200753</v>
      </c>
      <c r="B548">
        <v>33</v>
      </c>
      <c r="C548" s="1">
        <v>87728.22</v>
      </c>
      <c r="D548">
        <v>30</v>
      </c>
      <c r="E548" s="1">
        <v>70234.84</v>
      </c>
      <c r="F548" s="1">
        <v>157963.06</v>
      </c>
    </row>
    <row r="549" spans="1:6" x14ac:dyDescent="0.35">
      <c r="A549">
        <v>201336</v>
      </c>
      <c r="B549">
        <v>36</v>
      </c>
      <c r="C549" s="1">
        <v>99293.18</v>
      </c>
      <c r="D549">
        <v>25</v>
      </c>
      <c r="E549" s="1">
        <v>58626.9</v>
      </c>
      <c r="F549" s="1">
        <v>157920.07999999999</v>
      </c>
    </row>
    <row r="550" spans="1:6" x14ac:dyDescent="0.35">
      <c r="A550">
        <v>200735</v>
      </c>
      <c r="B550">
        <v>32</v>
      </c>
      <c r="C550" s="1">
        <v>81225.960000000006</v>
      </c>
      <c r="D550">
        <v>32</v>
      </c>
      <c r="E550" s="1">
        <v>76658.97</v>
      </c>
      <c r="F550" s="1">
        <v>157884.93</v>
      </c>
    </row>
    <row r="551" spans="1:6" x14ac:dyDescent="0.35">
      <c r="A551">
        <v>201040</v>
      </c>
      <c r="B551">
        <v>30</v>
      </c>
      <c r="C551" s="1">
        <v>75307.08</v>
      </c>
      <c r="D551">
        <v>33</v>
      </c>
      <c r="E551" s="1">
        <v>82504.27</v>
      </c>
      <c r="F551" s="1">
        <v>157811.35</v>
      </c>
    </row>
    <row r="552" spans="1:6" x14ac:dyDescent="0.35">
      <c r="A552">
        <v>200029</v>
      </c>
      <c r="B552">
        <v>38</v>
      </c>
      <c r="C552" s="1">
        <v>91807.4</v>
      </c>
      <c r="D552">
        <v>28</v>
      </c>
      <c r="E552" s="1">
        <v>65969.19</v>
      </c>
      <c r="F552" s="1">
        <v>157776.59</v>
      </c>
    </row>
    <row r="553" spans="1:6" x14ac:dyDescent="0.35">
      <c r="A553">
        <v>201189</v>
      </c>
      <c r="B553">
        <v>39</v>
      </c>
      <c r="C553" s="1">
        <v>95325.78</v>
      </c>
      <c r="D553">
        <v>27</v>
      </c>
      <c r="E553" s="1">
        <v>62438.23</v>
      </c>
      <c r="F553" s="1">
        <v>157764.01</v>
      </c>
    </row>
    <row r="554" spans="1:6" x14ac:dyDescent="0.35">
      <c r="A554">
        <v>200096</v>
      </c>
      <c r="B554">
        <v>29</v>
      </c>
      <c r="C554" s="1">
        <v>68647.210000000006</v>
      </c>
      <c r="D554">
        <v>34</v>
      </c>
      <c r="E554" s="1">
        <v>89053.53</v>
      </c>
      <c r="F554" s="1">
        <v>157700.74</v>
      </c>
    </row>
    <row r="555" spans="1:6" x14ac:dyDescent="0.35">
      <c r="A555">
        <v>200318</v>
      </c>
      <c r="B555">
        <v>31</v>
      </c>
      <c r="C555" s="1">
        <v>68359.649999999994</v>
      </c>
      <c r="D555">
        <v>35</v>
      </c>
      <c r="E555" s="1">
        <v>89331.89</v>
      </c>
      <c r="F555" s="1">
        <v>157691.53999999899</v>
      </c>
    </row>
    <row r="556" spans="1:6" x14ac:dyDescent="0.35">
      <c r="A556">
        <v>201471</v>
      </c>
      <c r="B556">
        <v>36</v>
      </c>
      <c r="C556" s="1">
        <v>86743.83</v>
      </c>
      <c r="D556">
        <v>27</v>
      </c>
      <c r="E556" s="1">
        <v>70855.11</v>
      </c>
      <c r="F556" s="1">
        <v>157598.94</v>
      </c>
    </row>
    <row r="557" spans="1:6" x14ac:dyDescent="0.35">
      <c r="A557">
        <v>201585</v>
      </c>
      <c r="B557">
        <v>26</v>
      </c>
      <c r="C557" s="1">
        <v>64078.37</v>
      </c>
      <c r="D557">
        <v>41</v>
      </c>
      <c r="E557" s="1">
        <v>93508.81</v>
      </c>
      <c r="F557" s="1">
        <v>157587.18</v>
      </c>
    </row>
    <row r="558" spans="1:6" x14ac:dyDescent="0.35">
      <c r="A558">
        <v>200877</v>
      </c>
      <c r="B558">
        <v>32</v>
      </c>
      <c r="C558" s="1">
        <v>98297.88</v>
      </c>
      <c r="D558">
        <v>28</v>
      </c>
      <c r="E558" s="1">
        <v>59210.37</v>
      </c>
      <c r="F558" s="1">
        <v>157508.25</v>
      </c>
    </row>
    <row r="559" spans="1:6" x14ac:dyDescent="0.35">
      <c r="A559">
        <v>200519</v>
      </c>
      <c r="B559">
        <v>31</v>
      </c>
      <c r="C559" s="1">
        <v>74124.56</v>
      </c>
      <c r="D559">
        <v>32</v>
      </c>
      <c r="E559" s="1">
        <v>83333.48</v>
      </c>
      <c r="F559" s="1">
        <v>157458.03999999899</v>
      </c>
    </row>
    <row r="560" spans="1:6" x14ac:dyDescent="0.35">
      <c r="A560">
        <v>200266</v>
      </c>
      <c r="B560">
        <v>33</v>
      </c>
      <c r="C560" s="1">
        <v>87324.32</v>
      </c>
      <c r="D560">
        <v>33</v>
      </c>
      <c r="E560" s="1">
        <v>70100.08</v>
      </c>
      <c r="F560" s="1">
        <v>157424.4</v>
      </c>
    </row>
    <row r="561" spans="1:6" x14ac:dyDescent="0.35">
      <c r="A561">
        <v>201427</v>
      </c>
      <c r="B561">
        <v>33</v>
      </c>
      <c r="C561" s="1">
        <v>85010.52</v>
      </c>
      <c r="D561">
        <v>33</v>
      </c>
      <c r="E561" s="1">
        <v>72394.350000000006</v>
      </c>
      <c r="F561" s="1">
        <v>157404.87</v>
      </c>
    </row>
    <row r="562" spans="1:6" x14ac:dyDescent="0.35">
      <c r="A562">
        <v>200548</v>
      </c>
      <c r="B562">
        <v>32</v>
      </c>
      <c r="C562" s="1">
        <v>100198.25</v>
      </c>
      <c r="D562">
        <v>23</v>
      </c>
      <c r="E562" s="1">
        <v>57180.800000000003</v>
      </c>
      <c r="F562" s="1">
        <v>157379.04999999999</v>
      </c>
    </row>
    <row r="563" spans="1:6" x14ac:dyDescent="0.35">
      <c r="A563">
        <v>201554</v>
      </c>
      <c r="B563">
        <v>27</v>
      </c>
      <c r="C563" s="1">
        <v>68154.960000000006</v>
      </c>
      <c r="D563">
        <v>35</v>
      </c>
      <c r="E563" s="1">
        <v>89200.53</v>
      </c>
      <c r="F563" s="1">
        <v>157355.49</v>
      </c>
    </row>
    <row r="564" spans="1:6" x14ac:dyDescent="0.35">
      <c r="A564">
        <v>200183</v>
      </c>
      <c r="B564">
        <v>34</v>
      </c>
      <c r="C564" s="1">
        <v>81307.78</v>
      </c>
      <c r="D564">
        <v>26</v>
      </c>
      <c r="E564" s="1">
        <v>76043.460000000006</v>
      </c>
      <c r="F564" s="1">
        <v>157351.24</v>
      </c>
    </row>
    <row r="565" spans="1:6" x14ac:dyDescent="0.35">
      <c r="A565">
        <v>200954</v>
      </c>
      <c r="B565">
        <v>35</v>
      </c>
      <c r="C565" s="1">
        <v>87430.97</v>
      </c>
      <c r="D565">
        <v>28</v>
      </c>
      <c r="E565" s="1">
        <v>69907.789999999994</v>
      </c>
      <c r="F565" s="1">
        <v>157338.76</v>
      </c>
    </row>
    <row r="566" spans="1:6" x14ac:dyDescent="0.35">
      <c r="A566">
        <v>200403</v>
      </c>
      <c r="B566">
        <v>32</v>
      </c>
      <c r="C566" s="1">
        <v>85651.8</v>
      </c>
      <c r="D566">
        <v>28</v>
      </c>
      <c r="E566" s="1">
        <v>71685.72</v>
      </c>
      <c r="F566" s="1">
        <v>157337.51999999999</v>
      </c>
    </row>
    <row r="567" spans="1:6" x14ac:dyDescent="0.35">
      <c r="A567">
        <v>200832</v>
      </c>
      <c r="B567">
        <v>25</v>
      </c>
      <c r="C567" s="1">
        <v>57006.53</v>
      </c>
      <c r="D567">
        <v>41</v>
      </c>
      <c r="E567" s="1">
        <v>100304.79</v>
      </c>
      <c r="F567" s="1">
        <v>157311.32</v>
      </c>
    </row>
    <row r="568" spans="1:6" x14ac:dyDescent="0.35">
      <c r="A568">
        <v>201120</v>
      </c>
      <c r="B568">
        <v>26</v>
      </c>
      <c r="C568" s="1">
        <v>70311.820000000007</v>
      </c>
      <c r="D568">
        <v>34</v>
      </c>
      <c r="E568" s="1">
        <v>86991.43</v>
      </c>
      <c r="F568" s="1">
        <v>157303.25</v>
      </c>
    </row>
    <row r="569" spans="1:6" x14ac:dyDescent="0.35">
      <c r="A569">
        <v>200712</v>
      </c>
      <c r="B569">
        <v>27</v>
      </c>
      <c r="C569" s="1">
        <v>58321.49</v>
      </c>
      <c r="D569">
        <v>36</v>
      </c>
      <c r="E569" s="1">
        <v>98951.63</v>
      </c>
      <c r="F569" s="1">
        <v>157273.12</v>
      </c>
    </row>
    <row r="570" spans="1:6" x14ac:dyDescent="0.35">
      <c r="A570">
        <v>200653</v>
      </c>
      <c r="B570">
        <v>27</v>
      </c>
      <c r="C570" s="1">
        <v>75208.11</v>
      </c>
      <c r="D570">
        <v>35</v>
      </c>
      <c r="E570" s="1">
        <v>82048.44</v>
      </c>
      <c r="F570" s="1">
        <v>157256.54999999999</v>
      </c>
    </row>
    <row r="571" spans="1:6" x14ac:dyDescent="0.35">
      <c r="A571">
        <v>201544</v>
      </c>
      <c r="B571">
        <v>33</v>
      </c>
      <c r="C571" s="1">
        <v>86128.98</v>
      </c>
      <c r="D571">
        <v>30</v>
      </c>
      <c r="E571" s="1">
        <v>71125.8</v>
      </c>
      <c r="F571" s="1">
        <v>157254.78</v>
      </c>
    </row>
    <row r="572" spans="1:6" x14ac:dyDescent="0.35">
      <c r="A572">
        <v>200798</v>
      </c>
      <c r="B572">
        <v>25</v>
      </c>
      <c r="C572" s="1">
        <v>60055</v>
      </c>
      <c r="D572">
        <v>38</v>
      </c>
      <c r="E572" s="1">
        <v>97167.4</v>
      </c>
      <c r="F572" s="1">
        <v>157222.39999999999</v>
      </c>
    </row>
    <row r="573" spans="1:6" x14ac:dyDescent="0.35">
      <c r="A573">
        <v>200364</v>
      </c>
      <c r="B573">
        <v>26</v>
      </c>
      <c r="C573" s="1">
        <v>61735.75</v>
      </c>
      <c r="D573">
        <v>30</v>
      </c>
      <c r="E573" s="1">
        <v>95465.54</v>
      </c>
      <c r="F573" s="1">
        <v>157201.28999999899</v>
      </c>
    </row>
    <row r="574" spans="1:6" x14ac:dyDescent="0.35">
      <c r="A574">
        <v>200907</v>
      </c>
      <c r="B574">
        <v>33</v>
      </c>
      <c r="C574" s="1">
        <v>80156.460000000006</v>
      </c>
      <c r="D574">
        <v>30</v>
      </c>
      <c r="E574" s="1">
        <v>76974.8</v>
      </c>
      <c r="F574" s="1">
        <v>157131.26</v>
      </c>
    </row>
    <row r="575" spans="1:6" x14ac:dyDescent="0.35">
      <c r="A575">
        <v>200416</v>
      </c>
      <c r="B575">
        <v>27</v>
      </c>
      <c r="C575" s="1">
        <v>66686.19</v>
      </c>
      <c r="D575">
        <v>38</v>
      </c>
      <c r="E575" s="1">
        <v>90426.17</v>
      </c>
      <c r="F575" s="1">
        <v>157112.35999999999</v>
      </c>
    </row>
    <row r="576" spans="1:6" x14ac:dyDescent="0.35">
      <c r="A576">
        <v>200097</v>
      </c>
      <c r="B576">
        <v>31</v>
      </c>
      <c r="C576" s="1">
        <v>80653.210000000006</v>
      </c>
      <c r="D576">
        <v>33</v>
      </c>
      <c r="E576" s="1">
        <v>76411.25</v>
      </c>
      <c r="F576" s="1">
        <v>157064.46</v>
      </c>
    </row>
    <row r="577" spans="1:6" x14ac:dyDescent="0.35">
      <c r="A577">
        <v>200705</v>
      </c>
      <c r="B577">
        <v>34</v>
      </c>
      <c r="C577" s="1">
        <v>96287.27</v>
      </c>
      <c r="D577">
        <v>22</v>
      </c>
      <c r="E577" s="1">
        <v>60776.12</v>
      </c>
      <c r="F577" s="1">
        <v>157063.39000000001</v>
      </c>
    </row>
    <row r="578" spans="1:6" x14ac:dyDescent="0.35">
      <c r="A578">
        <v>200649</v>
      </c>
      <c r="B578">
        <v>26</v>
      </c>
      <c r="C578" s="1">
        <v>69138.25</v>
      </c>
      <c r="D578">
        <v>31</v>
      </c>
      <c r="E578" s="1">
        <v>87892.85</v>
      </c>
      <c r="F578" s="1">
        <v>157031.1</v>
      </c>
    </row>
    <row r="579" spans="1:6" x14ac:dyDescent="0.35">
      <c r="A579">
        <v>201548</v>
      </c>
      <c r="B579">
        <v>31</v>
      </c>
      <c r="C579" s="1">
        <v>82396.39</v>
      </c>
      <c r="D579">
        <v>27</v>
      </c>
      <c r="E579" s="1">
        <v>74620.7</v>
      </c>
      <c r="F579" s="1">
        <v>157017.09</v>
      </c>
    </row>
    <row r="580" spans="1:6" x14ac:dyDescent="0.35">
      <c r="A580">
        <v>200717</v>
      </c>
      <c r="B580">
        <v>27</v>
      </c>
      <c r="C580" s="1">
        <v>73869.649999999994</v>
      </c>
      <c r="D580">
        <v>33</v>
      </c>
      <c r="E580" s="1">
        <v>83084.41</v>
      </c>
      <c r="F580" s="1">
        <v>156954.06</v>
      </c>
    </row>
    <row r="581" spans="1:6" x14ac:dyDescent="0.35">
      <c r="A581">
        <v>200409</v>
      </c>
      <c r="B581">
        <v>22</v>
      </c>
      <c r="C581" s="1">
        <v>59029.53</v>
      </c>
      <c r="D581">
        <v>37</v>
      </c>
      <c r="E581" s="1">
        <v>97916.37</v>
      </c>
      <c r="F581" s="1">
        <v>156945.9</v>
      </c>
    </row>
    <row r="582" spans="1:6" x14ac:dyDescent="0.35">
      <c r="A582">
        <v>200292</v>
      </c>
      <c r="B582">
        <v>33</v>
      </c>
      <c r="C582" s="1">
        <v>90518.39</v>
      </c>
      <c r="D582">
        <v>31</v>
      </c>
      <c r="E582" s="1">
        <v>66325.75</v>
      </c>
      <c r="F582" s="1">
        <v>156844.14000000001</v>
      </c>
    </row>
    <row r="583" spans="1:6" x14ac:dyDescent="0.35">
      <c r="A583">
        <v>201162</v>
      </c>
      <c r="B583">
        <v>27</v>
      </c>
      <c r="C583" s="1">
        <v>82319.66</v>
      </c>
      <c r="D583">
        <v>33</v>
      </c>
      <c r="E583" s="1">
        <v>74419.97</v>
      </c>
      <c r="F583" s="1">
        <v>156739.63</v>
      </c>
    </row>
    <row r="584" spans="1:6" x14ac:dyDescent="0.35">
      <c r="A584">
        <v>200528</v>
      </c>
      <c r="B584">
        <v>45</v>
      </c>
      <c r="C584" s="1">
        <v>107586.28</v>
      </c>
      <c r="D584">
        <v>22</v>
      </c>
      <c r="E584" s="1">
        <v>49085.29</v>
      </c>
      <c r="F584" s="1">
        <v>156671.57</v>
      </c>
    </row>
    <row r="585" spans="1:6" x14ac:dyDescent="0.35">
      <c r="A585">
        <v>201103</v>
      </c>
      <c r="B585">
        <v>35</v>
      </c>
      <c r="C585" s="1">
        <v>92264.55</v>
      </c>
      <c r="D585">
        <v>28</v>
      </c>
      <c r="E585" s="1">
        <v>64359.78</v>
      </c>
      <c r="F585" s="1">
        <v>156624.32999999999</v>
      </c>
    </row>
    <row r="586" spans="1:6" x14ac:dyDescent="0.35">
      <c r="A586">
        <v>200275</v>
      </c>
      <c r="B586">
        <v>31</v>
      </c>
      <c r="C586" s="1">
        <v>77950.34</v>
      </c>
      <c r="D586">
        <v>28</v>
      </c>
      <c r="E586" s="1">
        <v>78623.570000000007</v>
      </c>
      <c r="F586" s="1">
        <v>156573.91</v>
      </c>
    </row>
    <row r="587" spans="1:6" x14ac:dyDescent="0.35">
      <c r="A587">
        <v>201082</v>
      </c>
      <c r="B587">
        <v>27</v>
      </c>
      <c r="C587" s="1">
        <v>60921.42</v>
      </c>
      <c r="D587">
        <v>33</v>
      </c>
      <c r="E587" s="1">
        <v>95619.199999999997</v>
      </c>
      <c r="F587" s="1">
        <v>156540.62</v>
      </c>
    </row>
    <row r="588" spans="1:6" x14ac:dyDescent="0.35">
      <c r="A588">
        <v>200474</v>
      </c>
      <c r="B588">
        <v>33</v>
      </c>
      <c r="C588" s="1">
        <v>82519.06</v>
      </c>
      <c r="D588">
        <v>29</v>
      </c>
      <c r="E588" s="1">
        <v>73985.929999999993</v>
      </c>
      <c r="F588" s="1">
        <v>156504.99</v>
      </c>
    </row>
    <row r="589" spans="1:6" x14ac:dyDescent="0.35">
      <c r="A589">
        <v>201108</v>
      </c>
      <c r="B589">
        <v>30</v>
      </c>
      <c r="C589" s="1">
        <v>90655.3</v>
      </c>
      <c r="D589">
        <v>25</v>
      </c>
      <c r="E589" s="1">
        <v>65783.320000000007</v>
      </c>
      <c r="F589" s="1">
        <v>156438.62</v>
      </c>
    </row>
    <row r="590" spans="1:6" x14ac:dyDescent="0.35">
      <c r="A590">
        <v>200938</v>
      </c>
      <c r="B590">
        <v>25</v>
      </c>
      <c r="C590" s="1">
        <v>55232.24</v>
      </c>
      <c r="D590">
        <v>33</v>
      </c>
      <c r="E590" s="1">
        <v>101195.36</v>
      </c>
      <c r="F590" s="1">
        <v>156427.6</v>
      </c>
    </row>
    <row r="591" spans="1:6" x14ac:dyDescent="0.35">
      <c r="A591">
        <v>200730</v>
      </c>
      <c r="B591">
        <v>38</v>
      </c>
      <c r="C591" s="1">
        <v>98279.66</v>
      </c>
      <c r="D591">
        <v>23</v>
      </c>
      <c r="E591" s="1">
        <v>58129.19</v>
      </c>
      <c r="F591" s="1">
        <v>156408.85</v>
      </c>
    </row>
    <row r="592" spans="1:6" x14ac:dyDescent="0.35">
      <c r="A592">
        <v>200133</v>
      </c>
      <c r="B592">
        <v>27</v>
      </c>
      <c r="C592" s="1">
        <v>71020.289999999994</v>
      </c>
      <c r="D592">
        <v>32</v>
      </c>
      <c r="E592" s="1">
        <v>85372.09</v>
      </c>
      <c r="F592" s="1">
        <v>156392.38</v>
      </c>
    </row>
    <row r="593" spans="1:6" x14ac:dyDescent="0.35">
      <c r="A593">
        <v>201229</v>
      </c>
      <c r="B593">
        <v>34</v>
      </c>
      <c r="C593" s="1">
        <v>85017.73</v>
      </c>
      <c r="D593">
        <v>27</v>
      </c>
      <c r="E593" s="1">
        <v>71353.490000000005</v>
      </c>
      <c r="F593" s="1">
        <v>156371.22</v>
      </c>
    </row>
    <row r="594" spans="1:6" x14ac:dyDescent="0.35">
      <c r="A594">
        <v>201232</v>
      </c>
      <c r="B594">
        <v>33</v>
      </c>
      <c r="C594" s="1">
        <v>81407.509999999995</v>
      </c>
      <c r="D594">
        <v>26</v>
      </c>
      <c r="E594" s="1">
        <v>74962.720000000001</v>
      </c>
      <c r="F594" s="1">
        <v>156370.22999999899</v>
      </c>
    </row>
    <row r="595" spans="1:6" x14ac:dyDescent="0.35">
      <c r="A595">
        <v>201199</v>
      </c>
      <c r="B595">
        <v>32</v>
      </c>
      <c r="C595" s="1">
        <v>82718.63</v>
      </c>
      <c r="D595">
        <v>31</v>
      </c>
      <c r="E595" s="1">
        <v>73639.83</v>
      </c>
      <c r="F595" s="1">
        <v>156358.46</v>
      </c>
    </row>
    <row r="596" spans="1:6" x14ac:dyDescent="0.35">
      <c r="A596">
        <v>201156</v>
      </c>
      <c r="B596">
        <v>23</v>
      </c>
      <c r="C596" s="1">
        <v>64612.21</v>
      </c>
      <c r="D596">
        <v>38</v>
      </c>
      <c r="E596" s="1">
        <v>91733.43</v>
      </c>
      <c r="F596" s="1">
        <v>156345.639999999</v>
      </c>
    </row>
    <row r="597" spans="1:6" x14ac:dyDescent="0.35">
      <c r="A597">
        <v>200921</v>
      </c>
      <c r="B597">
        <v>23</v>
      </c>
      <c r="C597" s="1">
        <v>62810.7</v>
      </c>
      <c r="D597">
        <v>32</v>
      </c>
      <c r="E597" s="1">
        <v>93443.02</v>
      </c>
      <c r="F597" s="1">
        <v>156253.72</v>
      </c>
    </row>
    <row r="598" spans="1:6" x14ac:dyDescent="0.35">
      <c r="A598">
        <v>200092</v>
      </c>
      <c r="B598">
        <v>29</v>
      </c>
      <c r="C598" s="1">
        <v>81378.22</v>
      </c>
      <c r="D598">
        <v>27</v>
      </c>
      <c r="E598" s="1">
        <v>74852</v>
      </c>
      <c r="F598" s="1">
        <v>156230.22</v>
      </c>
    </row>
    <row r="599" spans="1:6" x14ac:dyDescent="0.35">
      <c r="A599">
        <v>201354</v>
      </c>
      <c r="B599">
        <v>27</v>
      </c>
      <c r="C599" s="1">
        <v>72042.44</v>
      </c>
      <c r="D599">
        <v>31</v>
      </c>
      <c r="E599" s="1">
        <v>84078.82</v>
      </c>
      <c r="F599" s="1">
        <v>156121.26</v>
      </c>
    </row>
    <row r="600" spans="1:6" x14ac:dyDescent="0.35">
      <c r="A600">
        <v>201022</v>
      </c>
      <c r="B600">
        <v>33</v>
      </c>
      <c r="C600" s="1">
        <v>87117.68</v>
      </c>
      <c r="D600">
        <v>29</v>
      </c>
      <c r="E600" s="1">
        <v>68995.7</v>
      </c>
      <c r="F600" s="1">
        <v>156113.38</v>
      </c>
    </row>
    <row r="601" spans="1:6" x14ac:dyDescent="0.35">
      <c r="A601">
        <v>200485</v>
      </c>
      <c r="B601">
        <v>22</v>
      </c>
      <c r="C601" s="1">
        <v>58458.34</v>
      </c>
      <c r="D601">
        <v>36</v>
      </c>
      <c r="E601" s="1">
        <v>97639.22</v>
      </c>
      <c r="F601" s="1">
        <v>156097.56</v>
      </c>
    </row>
    <row r="602" spans="1:6" x14ac:dyDescent="0.35">
      <c r="A602">
        <v>200365</v>
      </c>
      <c r="B602">
        <v>25</v>
      </c>
      <c r="C602" s="1">
        <v>52882.52</v>
      </c>
      <c r="D602">
        <v>35</v>
      </c>
      <c r="E602" s="1">
        <v>103189.8</v>
      </c>
      <c r="F602" s="1">
        <v>156072.32000000001</v>
      </c>
    </row>
    <row r="603" spans="1:6" x14ac:dyDescent="0.35">
      <c r="A603">
        <v>200693</v>
      </c>
      <c r="B603">
        <v>38</v>
      </c>
      <c r="C603" s="1">
        <v>84018.86</v>
      </c>
      <c r="D603">
        <v>30</v>
      </c>
      <c r="E603" s="1">
        <v>72006.3</v>
      </c>
      <c r="F603" s="1">
        <v>156025.16</v>
      </c>
    </row>
    <row r="604" spans="1:6" x14ac:dyDescent="0.35">
      <c r="A604">
        <v>200361</v>
      </c>
      <c r="B604">
        <v>25</v>
      </c>
      <c r="C604" s="1">
        <v>67634.009999999995</v>
      </c>
      <c r="D604">
        <v>36</v>
      </c>
      <c r="E604" s="1">
        <v>88375.69</v>
      </c>
      <c r="F604" s="1">
        <v>156009.70000000001</v>
      </c>
    </row>
    <row r="605" spans="1:6" x14ac:dyDescent="0.35">
      <c r="A605">
        <v>201613</v>
      </c>
      <c r="B605">
        <v>24</v>
      </c>
      <c r="C605" s="1">
        <v>61996.52</v>
      </c>
      <c r="D605">
        <v>36</v>
      </c>
      <c r="E605" s="1">
        <v>94007.7</v>
      </c>
      <c r="F605" s="1">
        <v>156004.22</v>
      </c>
    </row>
    <row r="606" spans="1:6" x14ac:dyDescent="0.35">
      <c r="A606">
        <v>201318</v>
      </c>
      <c r="B606">
        <v>25</v>
      </c>
      <c r="C606" s="1">
        <v>64653.23</v>
      </c>
      <c r="D606">
        <v>40</v>
      </c>
      <c r="E606" s="1">
        <v>91343.76</v>
      </c>
      <c r="F606" s="1">
        <v>155996.99</v>
      </c>
    </row>
    <row r="607" spans="1:6" x14ac:dyDescent="0.35">
      <c r="A607">
        <v>200909</v>
      </c>
      <c r="B607">
        <v>28</v>
      </c>
      <c r="C607" s="1">
        <v>67940.44</v>
      </c>
      <c r="D607">
        <v>35</v>
      </c>
      <c r="E607" s="1">
        <v>87965.58</v>
      </c>
      <c r="F607" s="1">
        <v>155906.01999999999</v>
      </c>
    </row>
    <row r="608" spans="1:6" x14ac:dyDescent="0.35">
      <c r="A608">
        <v>200055</v>
      </c>
      <c r="B608">
        <v>26</v>
      </c>
      <c r="C608" s="1">
        <v>74819.56</v>
      </c>
      <c r="D608">
        <v>30</v>
      </c>
      <c r="E608" s="1">
        <v>81085.009999999995</v>
      </c>
      <c r="F608" s="1">
        <v>155904.57</v>
      </c>
    </row>
    <row r="609" spans="1:6" x14ac:dyDescent="0.35">
      <c r="A609">
        <v>200661</v>
      </c>
      <c r="B609">
        <v>31</v>
      </c>
      <c r="C609" s="1">
        <v>85233.76</v>
      </c>
      <c r="D609">
        <v>25</v>
      </c>
      <c r="E609" s="1">
        <v>70663.570000000007</v>
      </c>
      <c r="F609" s="1">
        <v>155897.32999999999</v>
      </c>
    </row>
    <row r="610" spans="1:6" x14ac:dyDescent="0.35">
      <c r="A610">
        <v>200262</v>
      </c>
      <c r="B610">
        <v>29</v>
      </c>
      <c r="C610" s="1">
        <v>87123.66</v>
      </c>
      <c r="D610">
        <v>24</v>
      </c>
      <c r="E610" s="1">
        <v>68744.45</v>
      </c>
      <c r="F610" s="1">
        <v>155868.10999999999</v>
      </c>
    </row>
    <row r="611" spans="1:6" x14ac:dyDescent="0.35">
      <c r="A611">
        <v>200079</v>
      </c>
      <c r="B611">
        <v>32</v>
      </c>
      <c r="C611" s="1">
        <v>86548.01</v>
      </c>
      <c r="D611">
        <v>27</v>
      </c>
      <c r="E611" s="1">
        <v>69267.64</v>
      </c>
      <c r="F611" s="1">
        <v>155815.65</v>
      </c>
    </row>
    <row r="612" spans="1:6" x14ac:dyDescent="0.35">
      <c r="A612">
        <v>201646</v>
      </c>
      <c r="B612">
        <v>32</v>
      </c>
      <c r="C612" s="1">
        <v>87515.51</v>
      </c>
      <c r="D612">
        <v>27</v>
      </c>
      <c r="E612" s="1">
        <v>68296.800000000003</v>
      </c>
      <c r="F612" s="1">
        <v>155812.31</v>
      </c>
    </row>
    <row r="613" spans="1:6" x14ac:dyDescent="0.35">
      <c r="A613">
        <v>201118</v>
      </c>
      <c r="B613">
        <v>36</v>
      </c>
      <c r="C613" s="1">
        <v>79401.88</v>
      </c>
      <c r="D613">
        <v>33</v>
      </c>
      <c r="E613" s="1">
        <v>76374.83</v>
      </c>
      <c r="F613" s="1">
        <v>155776.71</v>
      </c>
    </row>
    <row r="614" spans="1:6" x14ac:dyDescent="0.35">
      <c r="A614">
        <v>200250</v>
      </c>
      <c r="B614">
        <v>36</v>
      </c>
      <c r="C614" s="1">
        <v>81501.56</v>
      </c>
      <c r="D614">
        <v>31</v>
      </c>
      <c r="E614" s="1">
        <v>74241.7</v>
      </c>
      <c r="F614" s="1">
        <v>155743.26</v>
      </c>
    </row>
    <row r="615" spans="1:6" x14ac:dyDescent="0.35">
      <c r="A615">
        <v>200809</v>
      </c>
      <c r="B615">
        <v>33</v>
      </c>
      <c r="C615" s="1">
        <v>75659.03</v>
      </c>
      <c r="D615">
        <v>30</v>
      </c>
      <c r="E615" s="1">
        <v>80058.16</v>
      </c>
      <c r="F615" s="1">
        <v>155717.19</v>
      </c>
    </row>
    <row r="616" spans="1:6" x14ac:dyDescent="0.35">
      <c r="A616">
        <v>200958</v>
      </c>
      <c r="B616">
        <v>33</v>
      </c>
      <c r="C616" s="1">
        <v>75065.039999999994</v>
      </c>
      <c r="D616">
        <v>29</v>
      </c>
      <c r="E616" s="1">
        <v>80623.64</v>
      </c>
      <c r="F616" s="1">
        <v>155688.68</v>
      </c>
    </row>
    <row r="617" spans="1:6" x14ac:dyDescent="0.35">
      <c r="A617">
        <v>201560</v>
      </c>
      <c r="B617">
        <v>31</v>
      </c>
      <c r="C617" s="1">
        <v>81700.850000000006</v>
      </c>
      <c r="D617">
        <v>29</v>
      </c>
      <c r="E617" s="1">
        <v>73985.14</v>
      </c>
      <c r="F617" s="1">
        <v>155685.99</v>
      </c>
    </row>
    <row r="618" spans="1:6" x14ac:dyDescent="0.35">
      <c r="A618">
        <v>200164</v>
      </c>
      <c r="B618">
        <v>33</v>
      </c>
      <c r="C618" s="1">
        <v>80151.399999999994</v>
      </c>
      <c r="D618">
        <v>33</v>
      </c>
      <c r="E618" s="1">
        <v>75520.17</v>
      </c>
      <c r="F618" s="1">
        <v>155671.57</v>
      </c>
    </row>
    <row r="619" spans="1:6" x14ac:dyDescent="0.35">
      <c r="A619">
        <v>200256</v>
      </c>
      <c r="B619">
        <v>30</v>
      </c>
      <c r="C619" s="1">
        <v>73175.929999999993</v>
      </c>
      <c r="D619">
        <v>30</v>
      </c>
      <c r="E619" s="1">
        <v>82492.59</v>
      </c>
      <c r="F619" s="1">
        <v>155668.51999999999</v>
      </c>
    </row>
    <row r="620" spans="1:6" x14ac:dyDescent="0.35">
      <c r="A620">
        <v>200232</v>
      </c>
      <c r="B620">
        <v>36</v>
      </c>
      <c r="C620" s="1">
        <v>79989.08</v>
      </c>
      <c r="D620">
        <v>30</v>
      </c>
      <c r="E620" s="1">
        <v>75672.210000000006</v>
      </c>
      <c r="F620" s="1">
        <v>155661.29</v>
      </c>
    </row>
    <row r="621" spans="1:6" x14ac:dyDescent="0.35">
      <c r="A621">
        <v>200476</v>
      </c>
      <c r="B621">
        <v>19</v>
      </c>
      <c r="C621" s="1">
        <v>37634.870000000003</v>
      </c>
      <c r="D621">
        <v>42</v>
      </c>
      <c r="E621" s="1">
        <v>118024.58</v>
      </c>
      <c r="F621" s="1">
        <v>155659.45000000001</v>
      </c>
    </row>
    <row r="622" spans="1:6" x14ac:dyDescent="0.35">
      <c r="A622">
        <v>200793</v>
      </c>
      <c r="B622">
        <v>34</v>
      </c>
      <c r="C622" s="1">
        <v>84191.53</v>
      </c>
      <c r="D622">
        <v>27</v>
      </c>
      <c r="E622" s="1">
        <v>71456.66</v>
      </c>
      <c r="F622" s="1">
        <v>155648.19</v>
      </c>
    </row>
    <row r="623" spans="1:6" x14ac:dyDescent="0.35">
      <c r="A623">
        <v>201342</v>
      </c>
      <c r="B623">
        <v>25</v>
      </c>
      <c r="C623" s="1">
        <v>69555.259999999995</v>
      </c>
      <c r="D623">
        <v>36</v>
      </c>
      <c r="E623" s="1">
        <v>86059.520000000004</v>
      </c>
      <c r="F623" s="1">
        <v>155614.78</v>
      </c>
    </row>
    <row r="624" spans="1:6" x14ac:dyDescent="0.35">
      <c r="A624">
        <v>200559</v>
      </c>
      <c r="B624">
        <v>31</v>
      </c>
      <c r="C624" s="1">
        <v>84837.5</v>
      </c>
      <c r="D624">
        <v>31</v>
      </c>
      <c r="E624" s="1">
        <v>70757.009999999995</v>
      </c>
      <c r="F624" s="1">
        <v>155594.51</v>
      </c>
    </row>
    <row r="625" spans="1:6" x14ac:dyDescent="0.35">
      <c r="A625">
        <v>201289</v>
      </c>
      <c r="B625">
        <v>32</v>
      </c>
      <c r="C625" s="1">
        <v>75696.73</v>
      </c>
      <c r="D625">
        <v>27</v>
      </c>
      <c r="E625" s="1">
        <v>79894.83</v>
      </c>
      <c r="F625" s="1">
        <v>155591.56</v>
      </c>
    </row>
    <row r="626" spans="1:6" x14ac:dyDescent="0.35">
      <c r="A626">
        <v>200612</v>
      </c>
      <c r="B626">
        <v>27</v>
      </c>
      <c r="C626" s="1">
        <v>72354.98</v>
      </c>
      <c r="D626">
        <v>35</v>
      </c>
      <c r="E626" s="1">
        <v>83233.570000000007</v>
      </c>
      <c r="F626" s="1">
        <v>155588.54999999999</v>
      </c>
    </row>
    <row r="627" spans="1:6" x14ac:dyDescent="0.35">
      <c r="A627">
        <v>201197</v>
      </c>
      <c r="B627">
        <v>19</v>
      </c>
      <c r="C627" s="1">
        <v>51988.04</v>
      </c>
      <c r="D627">
        <v>43</v>
      </c>
      <c r="E627" s="1">
        <v>103593.54</v>
      </c>
      <c r="F627" s="1">
        <v>155581.57999999999</v>
      </c>
    </row>
    <row r="628" spans="1:6" x14ac:dyDescent="0.35">
      <c r="A628">
        <v>201398</v>
      </c>
      <c r="B628">
        <v>36</v>
      </c>
      <c r="C628" s="1">
        <v>91635.45</v>
      </c>
      <c r="D628">
        <v>32</v>
      </c>
      <c r="E628" s="1">
        <v>63908.25</v>
      </c>
      <c r="F628" s="1">
        <v>155543.70000000001</v>
      </c>
    </row>
    <row r="629" spans="1:6" x14ac:dyDescent="0.35">
      <c r="A629">
        <v>200521</v>
      </c>
      <c r="B629">
        <v>35</v>
      </c>
      <c r="C629" s="1">
        <v>86507.71</v>
      </c>
      <c r="D629">
        <v>23</v>
      </c>
      <c r="E629" s="1">
        <v>68998.53</v>
      </c>
      <c r="F629" s="1">
        <v>155506.23999999999</v>
      </c>
    </row>
    <row r="630" spans="1:6" x14ac:dyDescent="0.35">
      <c r="A630">
        <v>200677</v>
      </c>
      <c r="B630">
        <v>31</v>
      </c>
      <c r="C630" s="1">
        <v>86345.57</v>
      </c>
      <c r="D630">
        <v>34</v>
      </c>
      <c r="E630" s="1">
        <v>68974.09</v>
      </c>
      <c r="F630" s="1">
        <v>155319.66</v>
      </c>
    </row>
    <row r="631" spans="1:6" x14ac:dyDescent="0.35">
      <c r="A631">
        <v>201148</v>
      </c>
      <c r="B631">
        <v>39</v>
      </c>
      <c r="C631" s="1">
        <v>96835.7</v>
      </c>
      <c r="D631">
        <v>29</v>
      </c>
      <c r="E631" s="1">
        <v>58467.06</v>
      </c>
      <c r="F631" s="1">
        <v>155302.76</v>
      </c>
    </row>
    <row r="632" spans="1:6" x14ac:dyDescent="0.35">
      <c r="A632">
        <v>200864</v>
      </c>
      <c r="B632">
        <v>31</v>
      </c>
      <c r="C632" s="1">
        <v>78690.05</v>
      </c>
      <c r="D632">
        <v>35</v>
      </c>
      <c r="E632" s="1">
        <v>76607.899999999994</v>
      </c>
      <c r="F632" s="1">
        <v>155297.95000000001</v>
      </c>
    </row>
    <row r="633" spans="1:6" x14ac:dyDescent="0.35">
      <c r="A633">
        <v>200668</v>
      </c>
      <c r="B633">
        <v>28</v>
      </c>
      <c r="C633" s="1">
        <v>81088.100000000006</v>
      </c>
      <c r="D633">
        <v>27</v>
      </c>
      <c r="E633" s="1">
        <v>74077.89</v>
      </c>
      <c r="F633" s="1">
        <v>155165.99</v>
      </c>
    </row>
    <row r="634" spans="1:6" x14ac:dyDescent="0.35">
      <c r="A634">
        <v>200215</v>
      </c>
      <c r="B634">
        <v>33</v>
      </c>
      <c r="C634" s="1">
        <v>87808.79</v>
      </c>
      <c r="D634">
        <v>28</v>
      </c>
      <c r="E634" s="1">
        <v>67302.05</v>
      </c>
      <c r="F634" s="1">
        <v>155110.84</v>
      </c>
    </row>
    <row r="635" spans="1:6" x14ac:dyDescent="0.35">
      <c r="A635">
        <v>200040</v>
      </c>
      <c r="B635">
        <v>27</v>
      </c>
      <c r="C635" s="1">
        <v>66614.59</v>
      </c>
      <c r="D635">
        <v>36</v>
      </c>
      <c r="E635" s="1">
        <v>88452.13</v>
      </c>
      <c r="F635" s="1">
        <v>155066.72</v>
      </c>
    </row>
    <row r="636" spans="1:6" x14ac:dyDescent="0.35">
      <c r="A636">
        <v>200440</v>
      </c>
      <c r="B636">
        <v>39</v>
      </c>
      <c r="C636" s="1">
        <v>92841.919999999998</v>
      </c>
      <c r="D636">
        <v>24</v>
      </c>
      <c r="E636" s="1">
        <v>62173.82</v>
      </c>
      <c r="F636" s="1">
        <v>155015.74</v>
      </c>
    </row>
    <row r="637" spans="1:6" x14ac:dyDescent="0.35">
      <c r="A637">
        <v>200515</v>
      </c>
      <c r="B637">
        <v>30</v>
      </c>
      <c r="C637" s="1">
        <v>77983.070000000007</v>
      </c>
      <c r="D637">
        <v>28</v>
      </c>
      <c r="E637" s="1">
        <v>77025.17</v>
      </c>
      <c r="F637" s="1">
        <v>155008.24</v>
      </c>
    </row>
    <row r="638" spans="1:6" x14ac:dyDescent="0.35">
      <c r="A638">
        <v>200373</v>
      </c>
      <c r="B638">
        <v>27</v>
      </c>
      <c r="C638" s="1">
        <v>68855.25</v>
      </c>
      <c r="D638">
        <v>38</v>
      </c>
      <c r="E638" s="1">
        <v>86023.7</v>
      </c>
      <c r="F638" s="1">
        <v>154878.95000000001</v>
      </c>
    </row>
    <row r="639" spans="1:6" x14ac:dyDescent="0.35">
      <c r="A639">
        <v>201629</v>
      </c>
      <c r="B639">
        <v>28</v>
      </c>
      <c r="C639" s="1">
        <v>66451.520000000004</v>
      </c>
      <c r="D639">
        <v>31</v>
      </c>
      <c r="E639" s="1">
        <v>88376.98</v>
      </c>
      <c r="F639" s="1">
        <v>154828.5</v>
      </c>
    </row>
    <row r="640" spans="1:6" x14ac:dyDescent="0.35">
      <c r="A640">
        <v>201581</v>
      </c>
      <c r="B640">
        <v>28</v>
      </c>
      <c r="C640" s="1">
        <v>72116.13</v>
      </c>
      <c r="D640">
        <v>31</v>
      </c>
      <c r="E640" s="1">
        <v>82679.5</v>
      </c>
      <c r="F640" s="1">
        <v>154795.63</v>
      </c>
    </row>
    <row r="641" spans="1:6" x14ac:dyDescent="0.35">
      <c r="A641">
        <v>201371</v>
      </c>
      <c r="B641">
        <v>31</v>
      </c>
      <c r="C641" s="1">
        <v>85827.06</v>
      </c>
      <c r="D641">
        <v>29</v>
      </c>
      <c r="E641" s="1">
        <v>68953.63</v>
      </c>
      <c r="F641" s="1">
        <v>154780.69</v>
      </c>
    </row>
    <row r="642" spans="1:6" x14ac:dyDescent="0.35">
      <c r="A642">
        <v>200411</v>
      </c>
      <c r="B642">
        <v>29</v>
      </c>
      <c r="C642" s="1">
        <v>77029.97</v>
      </c>
      <c r="D642">
        <v>38</v>
      </c>
      <c r="E642" s="1">
        <v>77740.429999999993</v>
      </c>
      <c r="F642" s="1">
        <v>154770.4</v>
      </c>
    </row>
    <row r="643" spans="1:6" x14ac:dyDescent="0.35">
      <c r="A643">
        <v>201384</v>
      </c>
      <c r="B643">
        <v>39</v>
      </c>
      <c r="C643" s="1">
        <v>78611.83</v>
      </c>
      <c r="D643">
        <v>29</v>
      </c>
      <c r="E643" s="1">
        <v>76090.710000000006</v>
      </c>
      <c r="F643" s="1">
        <v>154702.54</v>
      </c>
    </row>
    <row r="644" spans="1:6" x14ac:dyDescent="0.35">
      <c r="A644">
        <v>200142</v>
      </c>
      <c r="B644">
        <v>29</v>
      </c>
      <c r="C644" s="1">
        <v>76206.03</v>
      </c>
      <c r="D644">
        <v>27</v>
      </c>
      <c r="E644" s="1">
        <v>78469.399999999994</v>
      </c>
      <c r="F644" s="1">
        <v>154675.43</v>
      </c>
    </row>
    <row r="645" spans="1:6" x14ac:dyDescent="0.35">
      <c r="A645">
        <v>200433</v>
      </c>
      <c r="B645">
        <v>38</v>
      </c>
      <c r="C645" s="1">
        <v>90010.32</v>
      </c>
      <c r="D645">
        <v>23</v>
      </c>
      <c r="E645" s="1">
        <v>64627.03</v>
      </c>
      <c r="F645" s="1">
        <v>154637.35</v>
      </c>
    </row>
    <row r="646" spans="1:6" x14ac:dyDescent="0.35">
      <c r="A646">
        <v>201422</v>
      </c>
      <c r="B646">
        <v>33</v>
      </c>
      <c r="C646" s="1">
        <v>99142.76</v>
      </c>
      <c r="D646">
        <v>26</v>
      </c>
      <c r="E646" s="1">
        <v>55482.46</v>
      </c>
      <c r="F646" s="1">
        <v>154625.22</v>
      </c>
    </row>
    <row r="647" spans="1:6" x14ac:dyDescent="0.35">
      <c r="A647">
        <v>200615</v>
      </c>
      <c r="B647">
        <v>32</v>
      </c>
      <c r="C647" s="1">
        <v>89949.8</v>
      </c>
      <c r="D647">
        <v>29</v>
      </c>
      <c r="E647" s="1">
        <v>64651.03</v>
      </c>
      <c r="F647" s="1">
        <v>154600.82999999999</v>
      </c>
    </row>
    <row r="648" spans="1:6" x14ac:dyDescent="0.35">
      <c r="A648">
        <v>200700</v>
      </c>
      <c r="B648">
        <v>27</v>
      </c>
      <c r="C648" s="1">
        <v>78405.77</v>
      </c>
      <c r="D648">
        <v>33</v>
      </c>
      <c r="E648" s="1">
        <v>76135.98</v>
      </c>
      <c r="F648" s="1">
        <v>154541.75</v>
      </c>
    </row>
    <row r="649" spans="1:6" x14ac:dyDescent="0.35">
      <c r="A649">
        <v>201154</v>
      </c>
      <c r="B649">
        <v>35</v>
      </c>
      <c r="C649" s="1">
        <v>84206.65</v>
      </c>
      <c r="D649">
        <v>27</v>
      </c>
      <c r="E649" s="1">
        <v>70277.45</v>
      </c>
      <c r="F649" s="1">
        <v>154484.09999999899</v>
      </c>
    </row>
    <row r="650" spans="1:6" x14ac:dyDescent="0.35">
      <c r="A650">
        <v>200554</v>
      </c>
      <c r="B650">
        <v>27</v>
      </c>
      <c r="C650" s="1">
        <v>68876.87</v>
      </c>
      <c r="D650">
        <v>33</v>
      </c>
      <c r="E650" s="1">
        <v>85602.95</v>
      </c>
      <c r="F650" s="1">
        <v>154479.82</v>
      </c>
    </row>
    <row r="651" spans="1:6" x14ac:dyDescent="0.35">
      <c r="A651">
        <v>201444</v>
      </c>
      <c r="B651">
        <v>33</v>
      </c>
      <c r="C651" s="1">
        <v>86453.19</v>
      </c>
      <c r="D651">
        <v>30</v>
      </c>
      <c r="E651" s="1">
        <v>68022.720000000001</v>
      </c>
      <c r="F651" s="1">
        <v>154475.91</v>
      </c>
    </row>
    <row r="652" spans="1:6" x14ac:dyDescent="0.35">
      <c r="A652">
        <v>200605</v>
      </c>
      <c r="B652">
        <v>31</v>
      </c>
      <c r="C652" s="1">
        <v>81441</v>
      </c>
      <c r="D652">
        <v>31</v>
      </c>
      <c r="E652" s="1">
        <v>73027.09</v>
      </c>
      <c r="F652" s="1">
        <v>154468.09</v>
      </c>
    </row>
    <row r="653" spans="1:6" x14ac:dyDescent="0.35">
      <c r="A653">
        <v>201268</v>
      </c>
      <c r="B653">
        <v>28</v>
      </c>
      <c r="C653" s="1">
        <v>77440.460000000006</v>
      </c>
      <c r="D653">
        <v>29</v>
      </c>
      <c r="E653" s="1">
        <v>77014.34</v>
      </c>
      <c r="F653" s="1">
        <v>154454.79999999999</v>
      </c>
    </row>
    <row r="654" spans="1:6" x14ac:dyDescent="0.35">
      <c r="A654">
        <v>200846</v>
      </c>
      <c r="B654">
        <v>33</v>
      </c>
      <c r="C654" s="1">
        <v>80966.070000000007</v>
      </c>
      <c r="D654">
        <v>34</v>
      </c>
      <c r="E654" s="1">
        <v>73471.649999999994</v>
      </c>
      <c r="F654" s="1">
        <v>154437.72</v>
      </c>
    </row>
    <row r="655" spans="1:6" x14ac:dyDescent="0.35">
      <c r="A655">
        <v>200567</v>
      </c>
      <c r="B655">
        <v>29</v>
      </c>
      <c r="C655" s="1">
        <v>57112.2</v>
      </c>
      <c r="D655">
        <v>35</v>
      </c>
      <c r="E655" s="1">
        <v>97229.35</v>
      </c>
      <c r="F655" s="1">
        <v>154341.54999999999</v>
      </c>
    </row>
    <row r="656" spans="1:6" x14ac:dyDescent="0.35">
      <c r="A656">
        <v>201486</v>
      </c>
      <c r="B656">
        <v>31</v>
      </c>
      <c r="C656" s="1">
        <v>75414.87</v>
      </c>
      <c r="D656">
        <v>35</v>
      </c>
      <c r="E656" s="1">
        <v>78910.77</v>
      </c>
      <c r="F656" s="1">
        <v>154325.64000000001</v>
      </c>
    </row>
    <row r="657" spans="1:6" x14ac:dyDescent="0.35">
      <c r="A657">
        <v>201144</v>
      </c>
      <c r="B657">
        <v>24</v>
      </c>
      <c r="C657" s="1">
        <v>58914.9</v>
      </c>
      <c r="D657">
        <v>39</v>
      </c>
      <c r="E657" s="1">
        <v>95396.99</v>
      </c>
      <c r="F657" s="1">
        <v>154311.89000000001</v>
      </c>
    </row>
    <row r="658" spans="1:6" x14ac:dyDescent="0.35">
      <c r="A658">
        <v>201061</v>
      </c>
      <c r="B658">
        <v>28</v>
      </c>
      <c r="C658" s="1">
        <v>67290.61</v>
      </c>
      <c r="D658">
        <v>34</v>
      </c>
      <c r="E658" s="1">
        <v>87011.46</v>
      </c>
      <c r="F658" s="1">
        <v>154302.07</v>
      </c>
    </row>
    <row r="659" spans="1:6" x14ac:dyDescent="0.35">
      <c r="A659">
        <v>201547</v>
      </c>
      <c r="B659">
        <v>19</v>
      </c>
      <c r="C659" s="1">
        <v>57516.06</v>
      </c>
      <c r="D659">
        <v>39</v>
      </c>
      <c r="E659" s="1">
        <v>96767.01</v>
      </c>
      <c r="F659" s="1">
        <v>154283.07</v>
      </c>
    </row>
    <row r="660" spans="1:6" x14ac:dyDescent="0.35">
      <c r="A660">
        <v>201505</v>
      </c>
      <c r="B660">
        <v>31</v>
      </c>
      <c r="C660" s="1">
        <v>73691.06</v>
      </c>
      <c r="D660">
        <v>32</v>
      </c>
      <c r="E660" s="1">
        <v>80573.53</v>
      </c>
      <c r="F660" s="1">
        <v>154264.59</v>
      </c>
    </row>
    <row r="661" spans="1:6" x14ac:dyDescent="0.35">
      <c r="A661">
        <v>201110</v>
      </c>
      <c r="B661">
        <v>30</v>
      </c>
      <c r="C661" s="1">
        <v>84451.15</v>
      </c>
      <c r="D661">
        <v>27</v>
      </c>
      <c r="E661" s="1">
        <v>69801</v>
      </c>
      <c r="F661" s="1">
        <v>154252.15</v>
      </c>
    </row>
    <row r="662" spans="1:6" x14ac:dyDescent="0.35">
      <c r="A662">
        <v>201026</v>
      </c>
      <c r="B662">
        <v>26</v>
      </c>
      <c r="C662" s="1">
        <v>58676.07</v>
      </c>
      <c r="D662">
        <v>37</v>
      </c>
      <c r="E662" s="1">
        <v>95565.73</v>
      </c>
      <c r="F662" s="1">
        <v>154241.79999999999</v>
      </c>
    </row>
    <row r="663" spans="1:6" x14ac:dyDescent="0.35">
      <c r="A663">
        <v>200448</v>
      </c>
      <c r="B663">
        <v>30</v>
      </c>
      <c r="C663" s="1">
        <v>75798.19</v>
      </c>
      <c r="D663">
        <v>37</v>
      </c>
      <c r="E663" s="1">
        <v>78438.179999999993</v>
      </c>
      <c r="F663" s="1">
        <v>154236.37</v>
      </c>
    </row>
    <row r="664" spans="1:6" x14ac:dyDescent="0.35">
      <c r="A664">
        <v>201092</v>
      </c>
      <c r="B664">
        <v>36</v>
      </c>
      <c r="C664" s="1">
        <v>92456.44</v>
      </c>
      <c r="D664">
        <v>27</v>
      </c>
      <c r="E664" s="1">
        <v>61752.62</v>
      </c>
      <c r="F664" s="1">
        <v>154209.06</v>
      </c>
    </row>
    <row r="665" spans="1:6" x14ac:dyDescent="0.35">
      <c r="A665">
        <v>200842</v>
      </c>
      <c r="B665">
        <v>38</v>
      </c>
      <c r="C665" s="1">
        <v>100894.11</v>
      </c>
      <c r="D665">
        <v>21</v>
      </c>
      <c r="E665" s="1">
        <v>53138.29</v>
      </c>
      <c r="F665" s="1">
        <v>154032.4</v>
      </c>
    </row>
    <row r="666" spans="1:6" x14ac:dyDescent="0.35">
      <c r="A666">
        <v>200180</v>
      </c>
      <c r="B666">
        <v>30</v>
      </c>
      <c r="C666" s="1">
        <v>74200.479999999996</v>
      </c>
      <c r="D666">
        <v>31</v>
      </c>
      <c r="E666" s="1">
        <v>79828.83</v>
      </c>
      <c r="F666" s="1">
        <v>154029.31</v>
      </c>
    </row>
    <row r="667" spans="1:6" x14ac:dyDescent="0.35">
      <c r="A667">
        <v>200976</v>
      </c>
      <c r="B667">
        <v>38</v>
      </c>
      <c r="C667" s="1">
        <v>96550.97</v>
      </c>
      <c r="D667">
        <v>26</v>
      </c>
      <c r="E667" s="1">
        <v>57472.45</v>
      </c>
      <c r="F667" s="1">
        <v>154023.41999999899</v>
      </c>
    </row>
    <row r="668" spans="1:6" x14ac:dyDescent="0.35">
      <c r="A668">
        <v>200352</v>
      </c>
      <c r="B668">
        <v>28</v>
      </c>
      <c r="C668" s="1">
        <v>70462.8</v>
      </c>
      <c r="D668">
        <v>32</v>
      </c>
      <c r="E668" s="1">
        <v>83559.47</v>
      </c>
      <c r="F668" s="1">
        <v>154022.26999999999</v>
      </c>
    </row>
    <row r="669" spans="1:6" x14ac:dyDescent="0.35">
      <c r="A669">
        <v>200061</v>
      </c>
      <c r="B669">
        <v>33</v>
      </c>
      <c r="C669" s="1">
        <v>100101.79</v>
      </c>
      <c r="D669">
        <v>25</v>
      </c>
      <c r="E669" s="1">
        <v>53908.46</v>
      </c>
      <c r="F669" s="1">
        <v>154010.25</v>
      </c>
    </row>
    <row r="670" spans="1:6" x14ac:dyDescent="0.35">
      <c r="A670">
        <v>200082</v>
      </c>
      <c r="B670">
        <v>31</v>
      </c>
      <c r="C670" s="1">
        <v>90559</v>
      </c>
      <c r="D670">
        <v>28</v>
      </c>
      <c r="E670" s="1">
        <v>63360.99</v>
      </c>
      <c r="F670" s="1">
        <v>153919.99</v>
      </c>
    </row>
    <row r="671" spans="1:6" x14ac:dyDescent="0.35">
      <c r="A671">
        <v>200883</v>
      </c>
      <c r="B671">
        <v>31</v>
      </c>
      <c r="C671" s="1">
        <v>82620.850000000006</v>
      </c>
      <c r="D671">
        <v>30</v>
      </c>
      <c r="E671" s="1">
        <v>71296.34</v>
      </c>
      <c r="F671" s="1">
        <v>153917.19</v>
      </c>
    </row>
    <row r="672" spans="1:6" x14ac:dyDescent="0.35">
      <c r="A672">
        <v>201312</v>
      </c>
      <c r="B672">
        <v>31</v>
      </c>
      <c r="C672" s="1">
        <v>65494.41</v>
      </c>
      <c r="D672">
        <v>37</v>
      </c>
      <c r="E672" s="1">
        <v>88414.26</v>
      </c>
      <c r="F672" s="1">
        <v>153908.66999999899</v>
      </c>
    </row>
    <row r="673" spans="1:6" x14ac:dyDescent="0.35">
      <c r="A673">
        <v>200658</v>
      </c>
      <c r="B673">
        <v>25</v>
      </c>
      <c r="C673" s="1">
        <v>65265.95</v>
      </c>
      <c r="D673">
        <v>31</v>
      </c>
      <c r="E673" s="1">
        <v>88576.5</v>
      </c>
      <c r="F673" s="1">
        <v>153842.45000000001</v>
      </c>
    </row>
    <row r="674" spans="1:6" x14ac:dyDescent="0.35">
      <c r="A674">
        <v>201501</v>
      </c>
      <c r="B674">
        <v>27</v>
      </c>
      <c r="C674" s="1">
        <v>56016.32</v>
      </c>
      <c r="D674">
        <v>36</v>
      </c>
      <c r="E674" s="1">
        <v>97751.18</v>
      </c>
      <c r="F674" s="1">
        <v>153767.5</v>
      </c>
    </row>
    <row r="675" spans="1:6" x14ac:dyDescent="0.35">
      <c r="A675">
        <v>200553</v>
      </c>
      <c r="B675">
        <v>33</v>
      </c>
      <c r="C675" s="1">
        <v>89143.35</v>
      </c>
      <c r="D675">
        <v>23</v>
      </c>
      <c r="E675" s="1">
        <v>64597.84</v>
      </c>
      <c r="F675" s="1">
        <v>153741.19</v>
      </c>
    </row>
    <row r="676" spans="1:6" x14ac:dyDescent="0.35">
      <c r="A676">
        <v>200788</v>
      </c>
      <c r="B676">
        <v>35</v>
      </c>
      <c r="C676" s="1">
        <v>68588.67</v>
      </c>
      <c r="D676">
        <v>34</v>
      </c>
      <c r="E676" s="1">
        <v>85145.73</v>
      </c>
      <c r="F676" s="1">
        <v>153734.39999999999</v>
      </c>
    </row>
    <row r="677" spans="1:6" x14ac:dyDescent="0.35">
      <c r="A677">
        <v>201049</v>
      </c>
      <c r="B677">
        <v>28</v>
      </c>
      <c r="C677" s="1">
        <v>57103.68</v>
      </c>
      <c r="D677">
        <v>30</v>
      </c>
      <c r="E677" s="1">
        <v>96623.9</v>
      </c>
      <c r="F677" s="1">
        <v>153727.57999999999</v>
      </c>
    </row>
    <row r="678" spans="1:6" x14ac:dyDescent="0.35">
      <c r="A678">
        <v>200395</v>
      </c>
      <c r="B678">
        <v>36</v>
      </c>
      <c r="C678" s="1">
        <v>72062.86</v>
      </c>
      <c r="D678">
        <v>34</v>
      </c>
      <c r="E678" s="1">
        <v>81655.570000000007</v>
      </c>
      <c r="F678" s="1">
        <v>153718.43</v>
      </c>
    </row>
    <row r="679" spans="1:6" x14ac:dyDescent="0.35">
      <c r="A679">
        <v>200390</v>
      </c>
      <c r="B679">
        <v>23</v>
      </c>
      <c r="C679" s="1">
        <v>64226.06</v>
      </c>
      <c r="D679">
        <v>35</v>
      </c>
      <c r="E679" s="1">
        <v>89492.32</v>
      </c>
      <c r="F679" s="1">
        <v>153718.38</v>
      </c>
    </row>
    <row r="680" spans="1:6" x14ac:dyDescent="0.35">
      <c r="A680">
        <v>201254</v>
      </c>
      <c r="B680">
        <v>36</v>
      </c>
      <c r="C680" s="1">
        <v>85471.17</v>
      </c>
      <c r="D680">
        <v>25</v>
      </c>
      <c r="E680" s="1">
        <v>68107.259999999995</v>
      </c>
      <c r="F680" s="1">
        <v>153578.43</v>
      </c>
    </row>
    <row r="681" spans="1:6" x14ac:dyDescent="0.35">
      <c r="A681">
        <v>201614</v>
      </c>
      <c r="B681">
        <v>29</v>
      </c>
      <c r="C681" s="1">
        <v>86569.58</v>
      </c>
      <c r="D681">
        <v>26</v>
      </c>
      <c r="E681" s="1">
        <v>66939.97</v>
      </c>
      <c r="F681" s="1">
        <v>153509.54999999999</v>
      </c>
    </row>
    <row r="682" spans="1:6" x14ac:dyDescent="0.35">
      <c r="A682">
        <v>201572</v>
      </c>
      <c r="B682">
        <v>26</v>
      </c>
      <c r="C682" s="1">
        <v>74499.649999999994</v>
      </c>
      <c r="D682">
        <v>26</v>
      </c>
      <c r="E682" s="1">
        <v>79008.2</v>
      </c>
      <c r="F682" s="1">
        <v>153507.84999999899</v>
      </c>
    </row>
    <row r="683" spans="1:6" x14ac:dyDescent="0.35">
      <c r="A683">
        <v>200901</v>
      </c>
      <c r="B683">
        <v>26</v>
      </c>
      <c r="C683" s="1">
        <v>59923.519999999997</v>
      </c>
      <c r="D683">
        <v>37</v>
      </c>
      <c r="E683" s="1">
        <v>93558.29</v>
      </c>
      <c r="F683" s="1">
        <v>153481.81</v>
      </c>
    </row>
    <row r="684" spans="1:6" x14ac:dyDescent="0.35">
      <c r="A684">
        <v>201541</v>
      </c>
      <c r="B684">
        <v>37</v>
      </c>
      <c r="C684" s="1">
        <v>92354.57</v>
      </c>
      <c r="D684">
        <v>24</v>
      </c>
      <c r="E684" s="1">
        <v>61063.11</v>
      </c>
      <c r="F684" s="1">
        <v>153417.68</v>
      </c>
    </row>
    <row r="685" spans="1:6" x14ac:dyDescent="0.35">
      <c r="A685">
        <v>201428</v>
      </c>
      <c r="B685">
        <v>42</v>
      </c>
      <c r="C685" s="1">
        <v>98191.81</v>
      </c>
      <c r="D685">
        <v>23</v>
      </c>
      <c r="E685" s="1">
        <v>55201.760000000002</v>
      </c>
      <c r="F685" s="1">
        <v>153393.57</v>
      </c>
    </row>
    <row r="686" spans="1:6" x14ac:dyDescent="0.35">
      <c r="A686">
        <v>200177</v>
      </c>
      <c r="B686">
        <v>43</v>
      </c>
      <c r="C686" s="1">
        <v>102025.36</v>
      </c>
      <c r="D686">
        <v>21</v>
      </c>
      <c r="E686" s="1">
        <v>51301.88</v>
      </c>
      <c r="F686" s="1">
        <v>153327.24</v>
      </c>
    </row>
    <row r="687" spans="1:6" x14ac:dyDescent="0.35">
      <c r="A687">
        <v>200520</v>
      </c>
      <c r="B687">
        <v>20</v>
      </c>
      <c r="C687" s="1">
        <v>60684.03</v>
      </c>
      <c r="D687">
        <v>33</v>
      </c>
      <c r="E687" s="1">
        <v>92614.75</v>
      </c>
      <c r="F687" s="1">
        <v>153298.78</v>
      </c>
    </row>
    <row r="688" spans="1:6" x14ac:dyDescent="0.35">
      <c r="A688">
        <v>200595</v>
      </c>
      <c r="B688">
        <v>28</v>
      </c>
      <c r="C688" s="1">
        <v>73184.08</v>
      </c>
      <c r="D688">
        <v>32</v>
      </c>
      <c r="E688" s="1">
        <v>80064.789999999994</v>
      </c>
      <c r="F688" s="1">
        <v>153248.87</v>
      </c>
    </row>
    <row r="689" spans="1:6" x14ac:dyDescent="0.35">
      <c r="A689">
        <v>201496</v>
      </c>
      <c r="B689">
        <v>29</v>
      </c>
      <c r="C689" s="1">
        <v>70092.259999999995</v>
      </c>
      <c r="D689">
        <v>30</v>
      </c>
      <c r="E689" s="1">
        <v>83106.53</v>
      </c>
      <c r="F689" s="1">
        <v>153198.78999999899</v>
      </c>
    </row>
    <row r="690" spans="1:6" x14ac:dyDescent="0.35">
      <c r="A690">
        <v>200299</v>
      </c>
      <c r="B690">
        <v>32</v>
      </c>
      <c r="C690" s="1">
        <v>86214.62</v>
      </c>
      <c r="D690">
        <v>31</v>
      </c>
      <c r="E690" s="1">
        <v>66928.91</v>
      </c>
      <c r="F690" s="1">
        <v>153143.53</v>
      </c>
    </row>
    <row r="691" spans="1:6" x14ac:dyDescent="0.35">
      <c r="A691">
        <v>200166</v>
      </c>
      <c r="B691">
        <v>33</v>
      </c>
      <c r="C691" s="1">
        <v>84620.28</v>
      </c>
      <c r="D691">
        <v>28</v>
      </c>
      <c r="E691" s="1">
        <v>68463.59</v>
      </c>
      <c r="F691" s="1">
        <v>153083.87</v>
      </c>
    </row>
    <row r="692" spans="1:6" x14ac:dyDescent="0.35">
      <c r="A692">
        <v>200791</v>
      </c>
      <c r="B692">
        <v>36</v>
      </c>
      <c r="C692" s="1">
        <v>79698.45</v>
      </c>
      <c r="D692">
        <v>25</v>
      </c>
      <c r="E692" s="1">
        <v>73276.13</v>
      </c>
      <c r="F692" s="1">
        <v>152974.57999999999</v>
      </c>
    </row>
    <row r="693" spans="1:6" x14ac:dyDescent="0.35">
      <c r="A693">
        <v>200078</v>
      </c>
      <c r="B693">
        <v>31</v>
      </c>
      <c r="C693" s="1">
        <v>72793.84</v>
      </c>
      <c r="D693">
        <v>28</v>
      </c>
      <c r="E693" s="1">
        <v>79974.53</v>
      </c>
      <c r="F693" s="1">
        <v>152768.37</v>
      </c>
    </row>
    <row r="694" spans="1:6" x14ac:dyDescent="0.35">
      <c r="A694">
        <v>200234</v>
      </c>
      <c r="B694">
        <v>28</v>
      </c>
      <c r="C694" s="1">
        <v>67566.789999999994</v>
      </c>
      <c r="D694">
        <v>34</v>
      </c>
      <c r="E694" s="1">
        <v>85160.48</v>
      </c>
      <c r="F694" s="1">
        <v>152727.26999999999</v>
      </c>
    </row>
    <row r="695" spans="1:6" x14ac:dyDescent="0.35">
      <c r="A695">
        <v>201313</v>
      </c>
      <c r="B695">
        <v>25</v>
      </c>
      <c r="C695" s="1">
        <v>64909.7</v>
      </c>
      <c r="D695">
        <v>36</v>
      </c>
      <c r="E695" s="1">
        <v>87786.47</v>
      </c>
      <c r="F695" s="1">
        <v>152696.16999999899</v>
      </c>
    </row>
    <row r="696" spans="1:6" x14ac:dyDescent="0.35">
      <c r="A696">
        <v>200012</v>
      </c>
      <c r="B696">
        <v>34</v>
      </c>
      <c r="C696" s="1">
        <v>73306.039999999994</v>
      </c>
      <c r="D696">
        <v>31</v>
      </c>
      <c r="E696" s="1">
        <v>79315.399999999994</v>
      </c>
      <c r="F696" s="1">
        <v>152621.44</v>
      </c>
    </row>
    <row r="697" spans="1:6" x14ac:dyDescent="0.35">
      <c r="A697">
        <v>200161</v>
      </c>
      <c r="B697">
        <v>32</v>
      </c>
      <c r="C697" s="1">
        <v>76722.929999999993</v>
      </c>
      <c r="D697">
        <v>29</v>
      </c>
      <c r="E697" s="1">
        <v>75893.899999999994</v>
      </c>
      <c r="F697" s="1">
        <v>152616.82999999999</v>
      </c>
    </row>
    <row r="698" spans="1:6" x14ac:dyDescent="0.35">
      <c r="A698">
        <v>200046</v>
      </c>
      <c r="B698">
        <v>34</v>
      </c>
      <c r="C698" s="1">
        <v>87363.71</v>
      </c>
      <c r="D698">
        <v>26</v>
      </c>
      <c r="E698" s="1">
        <v>65252.41</v>
      </c>
      <c r="F698" s="1">
        <v>152616.12</v>
      </c>
    </row>
    <row r="699" spans="1:6" x14ac:dyDescent="0.35">
      <c r="A699">
        <v>200101</v>
      </c>
      <c r="B699">
        <v>33</v>
      </c>
      <c r="C699" s="1">
        <v>96820.01</v>
      </c>
      <c r="D699">
        <v>23</v>
      </c>
      <c r="E699" s="1">
        <v>55714.48</v>
      </c>
      <c r="F699" s="1">
        <v>152534.49</v>
      </c>
    </row>
    <row r="700" spans="1:6" x14ac:dyDescent="0.35">
      <c r="A700">
        <v>200444</v>
      </c>
      <c r="B700">
        <v>31</v>
      </c>
      <c r="C700" s="1">
        <v>73757.59</v>
      </c>
      <c r="D700">
        <v>36</v>
      </c>
      <c r="E700" s="1">
        <v>78749.509999999995</v>
      </c>
      <c r="F700" s="1">
        <v>152507.09999999899</v>
      </c>
    </row>
    <row r="701" spans="1:6" x14ac:dyDescent="0.35">
      <c r="A701">
        <v>201212</v>
      </c>
      <c r="B701">
        <v>29</v>
      </c>
      <c r="C701" s="1">
        <v>66500.31</v>
      </c>
      <c r="D701">
        <v>34</v>
      </c>
      <c r="E701" s="1">
        <v>86003.49</v>
      </c>
      <c r="F701" s="1">
        <v>152503.79999999999</v>
      </c>
    </row>
    <row r="702" spans="1:6" x14ac:dyDescent="0.35">
      <c r="A702">
        <v>200850</v>
      </c>
      <c r="B702">
        <v>37</v>
      </c>
      <c r="C702" s="1">
        <v>86790.3</v>
      </c>
      <c r="D702">
        <v>26</v>
      </c>
      <c r="E702" s="1">
        <v>65712.3</v>
      </c>
      <c r="F702" s="1">
        <v>152502.6</v>
      </c>
    </row>
    <row r="703" spans="1:6" x14ac:dyDescent="0.35">
      <c r="A703">
        <v>200987</v>
      </c>
      <c r="B703">
        <v>26</v>
      </c>
      <c r="C703" s="1">
        <v>60785.84</v>
      </c>
      <c r="D703">
        <v>34</v>
      </c>
      <c r="E703" s="1">
        <v>91568.06</v>
      </c>
      <c r="F703" s="1">
        <v>152353.9</v>
      </c>
    </row>
    <row r="704" spans="1:6" x14ac:dyDescent="0.35">
      <c r="A704">
        <v>200172</v>
      </c>
      <c r="B704">
        <v>24</v>
      </c>
      <c r="C704" s="1">
        <v>55768.49</v>
      </c>
      <c r="D704">
        <v>35</v>
      </c>
      <c r="E704" s="1">
        <v>96535.55</v>
      </c>
      <c r="F704" s="1">
        <v>152304.04</v>
      </c>
    </row>
    <row r="705" spans="1:6" x14ac:dyDescent="0.35">
      <c r="A705">
        <v>201509</v>
      </c>
      <c r="B705">
        <v>31</v>
      </c>
      <c r="C705" s="1">
        <v>78407.320000000007</v>
      </c>
      <c r="D705">
        <v>27</v>
      </c>
      <c r="E705" s="1">
        <v>73881.100000000006</v>
      </c>
      <c r="F705" s="1">
        <v>152288.42000000001</v>
      </c>
    </row>
    <row r="706" spans="1:6" x14ac:dyDescent="0.35">
      <c r="A706">
        <v>200418</v>
      </c>
      <c r="B706">
        <v>32</v>
      </c>
      <c r="C706" s="1">
        <v>81348.39</v>
      </c>
      <c r="D706">
        <v>24</v>
      </c>
      <c r="E706" s="1">
        <v>70681.63</v>
      </c>
      <c r="F706" s="1">
        <v>152030.01999999999</v>
      </c>
    </row>
    <row r="707" spans="1:6" x14ac:dyDescent="0.35">
      <c r="A707">
        <v>200283</v>
      </c>
      <c r="B707">
        <v>30</v>
      </c>
      <c r="C707" s="1">
        <v>70776.63</v>
      </c>
      <c r="D707">
        <v>30</v>
      </c>
      <c r="E707" s="1">
        <v>81203.98</v>
      </c>
      <c r="F707" s="1">
        <v>151980.60999999999</v>
      </c>
    </row>
    <row r="708" spans="1:6" x14ac:dyDescent="0.35">
      <c r="A708">
        <v>201272</v>
      </c>
      <c r="B708">
        <v>22</v>
      </c>
      <c r="C708" s="1">
        <v>54108.68</v>
      </c>
      <c r="D708">
        <v>45</v>
      </c>
      <c r="E708" s="1">
        <v>97847.37</v>
      </c>
      <c r="F708" s="1">
        <v>151956.04999999999</v>
      </c>
    </row>
    <row r="709" spans="1:6" x14ac:dyDescent="0.35">
      <c r="A709">
        <v>201623</v>
      </c>
      <c r="B709">
        <v>35</v>
      </c>
      <c r="C709" s="1">
        <v>76357.960000000006</v>
      </c>
      <c r="D709">
        <v>34</v>
      </c>
      <c r="E709" s="1">
        <v>75578.22</v>
      </c>
      <c r="F709" s="1">
        <v>151936.18</v>
      </c>
    </row>
    <row r="710" spans="1:6" x14ac:dyDescent="0.35">
      <c r="A710">
        <v>200550</v>
      </c>
      <c r="B710">
        <v>28</v>
      </c>
      <c r="C710" s="1">
        <v>77783.460000000006</v>
      </c>
      <c r="D710">
        <v>32</v>
      </c>
      <c r="E710" s="1">
        <v>74129.929999999993</v>
      </c>
      <c r="F710" s="1">
        <v>151913.39000000001</v>
      </c>
    </row>
    <row r="711" spans="1:6" x14ac:dyDescent="0.35">
      <c r="A711">
        <v>200763</v>
      </c>
      <c r="B711">
        <v>27</v>
      </c>
      <c r="C711" s="1">
        <v>67750.600000000006</v>
      </c>
      <c r="D711">
        <v>33</v>
      </c>
      <c r="E711" s="1">
        <v>84162.61</v>
      </c>
      <c r="F711" s="1">
        <v>151913.21</v>
      </c>
    </row>
    <row r="712" spans="1:6" x14ac:dyDescent="0.35">
      <c r="A712">
        <v>200449</v>
      </c>
      <c r="B712">
        <v>26</v>
      </c>
      <c r="C712" s="1">
        <v>81370.78</v>
      </c>
      <c r="D712">
        <v>25</v>
      </c>
      <c r="E712" s="1">
        <v>70526.37</v>
      </c>
      <c r="F712" s="1">
        <v>151897.15</v>
      </c>
    </row>
    <row r="713" spans="1:6" x14ac:dyDescent="0.35">
      <c r="A713">
        <v>200651</v>
      </c>
      <c r="B713">
        <v>39</v>
      </c>
      <c r="C713" s="1">
        <v>88943.82</v>
      </c>
      <c r="D713">
        <v>27</v>
      </c>
      <c r="E713" s="1">
        <v>62941.19</v>
      </c>
      <c r="F713" s="1">
        <v>151885.01</v>
      </c>
    </row>
    <row r="714" spans="1:6" x14ac:dyDescent="0.35">
      <c r="A714">
        <v>201015</v>
      </c>
      <c r="B714">
        <v>30</v>
      </c>
      <c r="C714" s="1">
        <v>89253.8</v>
      </c>
      <c r="D714">
        <v>27</v>
      </c>
      <c r="E714" s="1">
        <v>62537.43</v>
      </c>
      <c r="F714" s="1">
        <v>151791.23000000001</v>
      </c>
    </row>
    <row r="715" spans="1:6" x14ac:dyDescent="0.35">
      <c r="A715">
        <v>200790</v>
      </c>
      <c r="B715">
        <v>28</v>
      </c>
      <c r="C715" s="1">
        <v>66771.460000000006</v>
      </c>
      <c r="D715">
        <v>33</v>
      </c>
      <c r="E715" s="1">
        <v>84986.69</v>
      </c>
      <c r="F715" s="1">
        <v>151758.15</v>
      </c>
    </row>
    <row r="716" spans="1:6" x14ac:dyDescent="0.35">
      <c r="A716">
        <v>200811</v>
      </c>
      <c r="B716">
        <v>39</v>
      </c>
      <c r="C716" s="1">
        <v>81924.36</v>
      </c>
      <c r="D716">
        <v>23</v>
      </c>
      <c r="E716" s="1">
        <v>69832.92</v>
      </c>
      <c r="F716" s="1">
        <v>151757.28</v>
      </c>
    </row>
    <row r="717" spans="1:6" x14ac:dyDescent="0.35">
      <c r="A717">
        <v>201357</v>
      </c>
      <c r="B717">
        <v>34</v>
      </c>
      <c r="C717" s="1">
        <v>87337.2</v>
      </c>
      <c r="D717">
        <v>27</v>
      </c>
      <c r="E717" s="1">
        <v>64384.57</v>
      </c>
      <c r="F717" s="1">
        <v>151721.76999999999</v>
      </c>
    </row>
    <row r="718" spans="1:6" x14ac:dyDescent="0.35">
      <c r="A718">
        <v>201202</v>
      </c>
      <c r="B718">
        <v>32</v>
      </c>
      <c r="C718" s="1">
        <v>71193.289999999994</v>
      </c>
      <c r="D718">
        <v>31</v>
      </c>
      <c r="E718" s="1">
        <v>80413.509999999995</v>
      </c>
      <c r="F718" s="1">
        <v>151606.79999999999</v>
      </c>
    </row>
    <row r="719" spans="1:6" x14ac:dyDescent="0.35">
      <c r="A719">
        <v>200396</v>
      </c>
      <c r="B719">
        <v>24</v>
      </c>
      <c r="C719" s="1">
        <v>78714.94</v>
      </c>
      <c r="D719">
        <v>31</v>
      </c>
      <c r="E719" s="1">
        <v>72876.62</v>
      </c>
      <c r="F719" s="1">
        <v>151591.56</v>
      </c>
    </row>
    <row r="720" spans="1:6" x14ac:dyDescent="0.35">
      <c r="A720">
        <v>200482</v>
      </c>
      <c r="B720">
        <v>27</v>
      </c>
      <c r="C720" s="1">
        <v>81793.990000000005</v>
      </c>
      <c r="D720">
        <v>23</v>
      </c>
      <c r="E720" s="1">
        <v>69786.13</v>
      </c>
      <c r="F720" s="1">
        <v>151580.12</v>
      </c>
    </row>
    <row r="721" spans="1:6" x14ac:dyDescent="0.35">
      <c r="A721">
        <v>200618</v>
      </c>
      <c r="B721">
        <v>37</v>
      </c>
      <c r="C721" s="1">
        <v>106067.39</v>
      </c>
      <c r="D721">
        <v>24</v>
      </c>
      <c r="E721" s="1">
        <v>45482.33</v>
      </c>
      <c r="F721" s="1">
        <v>151549.72</v>
      </c>
    </row>
    <row r="722" spans="1:6" x14ac:dyDescent="0.35">
      <c r="A722">
        <v>200510</v>
      </c>
      <c r="B722">
        <v>37</v>
      </c>
      <c r="C722" s="1">
        <v>85713.56</v>
      </c>
      <c r="D722">
        <v>25</v>
      </c>
      <c r="E722" s="1">
        <v>65820.09</v>
      </c>
      <c r="F722" s="1">
        <v>151533.65</v>
      </c>
    </row>
    <row r="723" spans="1:6" x14ac:dyDescent="0.35">
      <c r="A723">
        <v>200202</v>
      </c>
      <c r="B723">
        <v>33</v>
      </c>
      <c r="C723" s="1">
        <v>85790.3</v>
      </c>
      <c r="D723">
        <v>29</v>
      </c>
      <c r="E723" s="1">
        <v>65695.600000000006</v>
      </c>
      <c r="F723" s="1">
        <v>151485.9</v>
      </c>
    </row>
    <row r="724" spans="1:6" x14ac:dyDescent="0.35">
      <c r="A724">
        <v>200732</v>
      </c>
      <c r="B724">
        <v>31</v>
      </c>
      <c r="C724" s="1">
        <v>76395.73</v>
      </c>
      <c r="D724">
        <v>28</v>
      </c>
      <c r="E724" s="1">
        <v>75089.399999999994</v>
      </c>
      <c r="F724" s="1">
        <v>151485.13</v>
      </c>
    </row>
    <row r="725" spans="1:6" x14ac:dyDescent="0.35">
      <c r="A725">
        <v>200794</v>
      </c>
      <c r="B725">
        <v>30</v>
      </c>
      <c r="C725" s="1">
        <v>71041.05</v>
      </c>
      <c r="D725">
        <v>30</v>
      </c>
      <c r="E725" s="1">
        <v>80298</v>
      </c>
      <c r="F725" s="1">
        <v>151339.04999999999</v>
      </c>
    </row>
    <row r="726" spans="1:6" x14ac:dyDescent="0.35">
      <c r="A726">
        <v>200075</v>
      </c>
      <c r="B726">
        <v>37</v>
      </c>
      <c r="C726" s="1">
        <v>91932.92</v>
      </c>
      <c r="D726">
        <v>22</v>
      </c>
      <c r="E726" s="1">
        <v>59267.199999999997</v>
      </c>
      <c r="F726" s="1">
        <v>151200.12</v>
      </c>
    </row>
    <row r="727" spans="1:6" x14ac:dyDescent="0.35">
      <c r="A727">
        <v>201636</v>
      </c>
      <c r="B727">
        <v>30</v>
      </c>
      <c r="C727" s="1">
        <v>65293.64</v>
      </c>
      <c r="D727">
        <v>34</v>
      </c>
      <c r="E727" s="1">
        <v>85883.96</v>
      </c>
      <c r="F727" s="1">
        <v>151177.60000000001</v>
      </c>
    </row>
    <row r="728" spans="1:6" x14ac:dyDescent="0.35">
      <c r="A728">
        <v>200903</v>
      </c>
      <c r="B728">
        <v>30</v>
      </c>
      <c r="C728" s="1">
        <v>82349.19</v>
      </c>
      <c r="D728">
        <v>23</v>
      </c>
      <c r="E728" s="1">
        <v>68803.960000000006</v>
      </c>
      <c r="F728" s="1">
        <v>151153.15</v>
      </c>
    </row>
    <row r="729" spans="1:6" x14ac:dyDescent="0.35">
      <c r="A729">
        <v>201571</v>
      </c>
      <c r="B729">
        <v>26</v>
      </c>
      <c r="C729" s="1">
        <v>74863.64</v>
      </c>
      <c r="D729">
        <v>29</v>
      </c>
      <c r="E729" s="1">
        <v>76241.75</v>
      </c>
      <c r="F729" s="1">
        <v>151105.39000000001</v>
      </c>
    </row>
    <row r="730" spans="1:6" x14ac:dyDescent="0.35">
      <c r="A730">
        <v>200376</v>
      </c>
      <c r="B730">
        <v>30</v>
      </c>
      <c r="C730" s="1">
        <v>71512.03</v>
      </c>
      <c r="D730">
        <v>36</v>
      </c>
      <c r="E730" s="1">
        <v>79551.47</v>
      </c>
      <c r="F730" s="1">
        <v>151063.5</v>
      </c>
    </row>
    <row r="731" spans="1:6" x14ac:dyDescent="0.35">
      <c r="A731">
        <v>200508</v>
      </c>
      <c r="B731">
        <v>33</v>
      </c>
      <c r="C731" s="1">
        <v>85742.89</v>
      </c>
      <c r="D731">
        <v>25</v>
      </c>
      <c r="E731" s="1">
        <v>65258.05</v>
      </c>
      <c r="F731" s="1">
        <v>151000.94</v>
      </c>
    </row>
    <row r="732" spans="1:6" x14ac:dyDescent="0.35">
      <c r="A732">
        <v>201569</v>
      </c>
      <c r="B732">
        <v>36</v>
      </c>
      <c r="C732" s="1">
        <v>99625.85</v>
      </c>
      <c r="D732">
        <v>23</v>
      </c>
      <c r="E732" s="1">
        <v>51328.72</v>
      </c>
      <c r="F732" s="1">
        <v>150954.57</v>
      </c>
    </row>
    <row r="733" spans="1:6" x14ac:dyDescent="0.35">
      <c r="A733">
        <v>200928</v>
      </c>
      <c r="B733">
        <v>31</v>
      </c>
      <c r="C733" s="1">
        <v>81733.27</v>
      </c>
      <c r="D733">
        <v>26</v>
      </c>
      <c r="E733" s="1">
        <v>69169.95</v>
      </c>
      <c r="F733" s="1">
        <v>150903.22</v>
      </c>
    </row>
    <row r="734" spans="1:6" x14ac:dyDescent="0.35">
      <c r="A734">
        <v>200128</v>
      </c>
      <c r="B734">
        <v>37</v>
      </c>
      <c r="C734" s="1">
        <v>96221.39</v>
      </c>
      <c r="D734">
        <v>23</v>
      </c>
      <c r="E734" s="1">
        <v>54648.49</v>
      </c>
      <c r="F734" s="1">
        <v>150869.88</v>
      </c>
    </row>
    <row r="735" spans="1:6" x14ac:dyDescent="0.35">
      <c r="A735">
        <v>200112</v>
      </c>
      <c r="B735">
        <v>30</v>
      </c>
      <c r="C735" s="1">
        <v>75066.58</v>
      </c>
      <c r="D735">
        <v>33</v>
      </c>
      <c r="E735" s="1">
        <v>75795.55</v>
      </c>
      <c r="F735" s="1">
        <v>150862.13</v>
      </c>
    </row>
    <row r="736" spans="1:6" x14ac:dyDescent="0.35">
      <c r="A736">
        <v>200125</v>
      </c>
      <c r="B736">
        <v>26</v>
      </c>
      <c r="C736" s="1">
        <v>65658.149999999994</v>
      </c>
      <c r="D736">
        <v>29</v>
      </c>
      <c r="E736" s="1">
        <v>85184.91</v>
      </c>
      <c r="F736" s="1">
        <v>150843.06</v>
      </c>
    </row>
    <row r="737" spans="1:6" x14ac:dyDescent="0.35">
      <c r="A737">
        <v>200392</v>
      </c>
      <c r="B737">
        <v>29</v>
      </c>
      <c r="C737" s="1">
        <v>66362.03</v>
      </c>
      <c r="D737">
        <v>30</v>
      </c>
      <c r="E737" s="1">
        <v>84480.18</v>
      </c>
      <c r="F737" s="1">
        <v>150842.21</v>
      </c>
    </row>
    <row r="738" spans="1:6" x14ac:dyDescent="0.35">
      <c r="A738">
        <v>201233</v>
      </c>
      <c r="B738">
        <v>29</v>
      </c>
      <c r="C738" s="1">
        <v>61593.37</v>
      </c>
      <c r="D738">
        <v>33</v>
      </c>
      <c r="E738" s="1">
        <v>89227.19</v>
      </c>
      <c r="F738" s="1">
        <v>150820.56</v>
      </c>
    </row>
    <row r="739" spans="1:6" x14ac:dyDescent="0.35">
      <c r="A739">
        <v>200260</v>
      </c>
      <c r="B739">
        <v>32</v>
      </c>
      <c r="C739" s="1">
        <v>80461.84</v>
      </c>
      <c r="D739">
        <v>28</v>
      </c>
      <c r="E739" s="1">
        <v>70308.039999999994</v>
      </c>
      <c r="F739" s="1">
        <v>150769.88</v>
      </c>
    </row>
    <row r="740" spans="1:6" x14ac:dyDescent="0.35">
      <c r="A740">
        <v>200145</v>
      </c>
      <c r="B740">
        <v>30</v>
      </c>
      <c r="C740" s="1">
        <v>87045.41</v>
      </c>
      <c r="D740">
        <v>28</v>
      </c>
      <c r="E740" s="1">
        <v>63703.87</v>
      </c>
      <c r="F740" s="1">
        <v>150749.28</v>
      </c>
    </row>
    <row r="741" spans="1:6" x14ac:dyDescent="0.35">
      <c r="A741">
        <v>200073</v>
      </c>
      <c r="B741">
        <v>28</v>
      </c>
      <c r="C741" s="1">
        <v>73096.23</v>
      </c>
      <c r="D741">
        <v>33</v>
      </c>
      <c r="E741" s="1">
        <v>77421.58</v>
      </c>
      <c r="F741" s="1">
        <v>150517.81</v>
      </c>
    </row>
    <row r="742" spans="1:6" x14ac:dyDescent="0.35">
      <c r="A742">
        <v>201231</v>
      </c>
      <c r="B742">
        <v>29</v>
      </c>
      <c r="C742" s="1">
        <v>82999.22</v>
      </c>
      <c r="D742">
        <v>27</v>
      </c>
      <c r="E742" s="1">
        <v>67424.350000000006</v>
      </c>
      <c r="F742" s="1">
        <v>150423.57</v>
      </c>
    </row>
    <row r="743" spans="1:6" x14ac:dyDescent="0.35">
      <c r="A743">
        <v>201482</v>
      </c>
      <c r="B743">
        <v>33</v>
      </c>
      <c r="C743" s="1">
        <v>71217.67</v>
      </c>
      <c r="D743">
        <v>30</v>
      </c>
      <c r="E743" s="1">
        <v>79183.039999999994</v>
      </c>
      <c r="F743" s="1">
        <v>150400.71</v>
      </c>
    </row>
    <row r="744" spans="1:6" x14ac:dyDescent="0.35">
      <c r="A744">
        <v>200874</v>
      </c>
      <c r="B744">
        <v>26</v>
      </c>
      <c r="C744" s="1">
        <v>67764.81</v>
      </c>
      <c r="D744">
        <v>31</v>
      </c>
      <c r="E744" s="1">
        <v>82621.100000000006</v>
      </c>
      <c r="F744" s="1">
        <v>150385.91</v>
      </c>
    </row>
    <row r="745" spans="1:6" x14ac:dyDescent="0.35">
      <c r="A745">
        <v>201339</v>
      </c>
      <c r="B745">
        <v>29</v>
      </c>
      <c r="C745" s="1">
        <v>78219.44</v>
      </c>
      <c r="D745">
        <v>33</v>
      </c>
      <c r="E745" s="1">
        <v>72143.73</v>
      </c>
      <c r="F745" s="1">
        <v>150363.16999999899</v>
      </c>
    </row>
    <row r="746" spans="1:6" x14ac:dyDescent="0.35">
      <c r="A746">
        <v>200544</v>
      </c>
      <c r="B746">
        <v>28</v>
      </c>
      <c r="C746" s="1">
        <v>70095.03</v>
      </c>
      <c r="D746">
        <v>29</v>
      </c>
      <c r="E746" s="1">
        <v>80137.95</v>
      </c>
      <c r="F746" s="1">
        <v>150232.97999999899</v>
      </c>
    </row>
    <row r="747" spans="1:6" x14ac:dyDescent="0.35">
      <c r="A747">
        <v>200933</v>
      </c>
      <c r="B747">
        <v>27</v>
      </c>
      <c r="C747" s="1">
        <v>70521.98</v>
      </c>
      <c r="D747">
        <v>31</v>
      </c>
      <c r="E747" s="1">
        <v>79693.47</v>
      </c>
      <c r="F747" s="1">
        <v>150215.45000000001</v>
      </c>
    </row>
    <row r="748" spans="1:6" x14ac:dyDescent="0.35">
      <c r="A748">
        <v>200027</v>
      </c>
      <c r="B748">
        <v>30</v>
      </c>
      <c r="C748" s="1">
        <v>74047.91</v>
      </c>
      <c r="D748">
        <v>32</v>
      </c>
      <c r="E748" s="1">
        <v>76167.509999999995</v>
      </c>
      <c r="F748" s="1">
        <v>150215.41999999899</v>
      </c>
    </row>
    <row r="749" spans="1:6" x14ac:dyDescent="0.35">
      <c r="A749">
        <v>200776</v>
      </c>
      <c r="B749">
        <v>24</v>
      </c>
      <c r="C749" s="1">
        <v>72624.100000000006</v>
      </c>
      <c r="D749">
        <v>31</v>
      </c>
      <c r="E749" s="1">
        <v>77523.3</v>
      </c>
      <c r="F749" s="1">
        <v>150147.4</v>
      </c>
    </row>
    <row r="750" spans="1:6" x14ac:dyDescent="0.35">
      <c r="A750">
        <v>200784</v>
      </c>
      <c r="B750">
        <v>28</v>
      </c>
      <c r="C750" s="1">
        <v>70690.289999999994</v>
      </c>
      <c r="D750">
        <v>31</v>
      </c>
      <c r="E750" s="1">
        <v>79378.25</v>
      </c>
      <c r="F750" s="1">
        <v>150068.53999999899</v>
      </c>
    </row>
    <row r="751" spans="1:6" x14ac:dyDescent="0.35">
      <c r="A751">
        <v>200509</v>
      </c>
      <c r="B751">
        <v>32</v>
      </c>
      <c r="C751" s="1">
        <v>66460.399999999994</v>
      </c>
      <c r="D751">
        <v>32</v>
      </c>
      <c r="E751" s="1">
        <v>83581.509999999995</v>
      </c>
      <c r="F751" s="1">
        <v>150041.90999999901</v>
      </c>
    </row>
    <row r="752" spans="1:6" x14ac:dyDescent="0.35">
      <c r="A752">
        <v>200720</v>
      </c>
      <c r="B752">
        <v>24</v>
      </c>
      <c r="C752" s="1">
        <v>60811.44</v>
      </c>
      <c r="D752">
        <v>35</v>
      </c>
      <c r="E752" s="1">
        <v>89222.52</v>
      </c>
      <c r="F752" s="1">
        <v>150033.96</v>
      </c>
    </row>
    <row r="753" spans="1:6" x14ac:dyDescent="0.35">
      <c r="A753">
        <v>200087</v>
      </c>
      <c r="B753">
        <v>34</v>
      </c>
      <c r="C753" s="1">
        <v>74937.73</v>
      </c>
      <c r="D753">
        <v>31</v>
      </c>
      <c r="E753" s="1">
        <v>75055.95</v>
      </c>
      <c r="F753" s="1">
        <v>149993.68</v>
      </c>
    </row>
    <row r="754" spans="1:6" x14ac:dyDescent="0.35">
      <c r="A754">
        <v>201078</v>
      </c>
      <c r="B754">
        <v>26</v>
      </c>
      <c r="C754" s="1">
        <v>68643.02</v>
      </c>
      <c r="D754">
        <v>36</v>
      </c>
      <c r="E754" s="1">
        <v>81342.19</v>
      </c>
      <c r="F754" s="1">
        <v>149985.21</v>
      </c>
    </row>
    <row r="755" spans="1:6" x14ac:dyDescent="0.35">
      <c r="A755">
        <v>200425</v>
      </c>
      <c r="B755">
        <v>33</v>
      </c>
      <c r="C755" s="1">
        <v>76968.350000000006</v>
      </c>
      <c r="D755">
        <v>31</v>
      </c>
      <c r="E755" s="1">
        <v>72998.02</v>
      </c>
      <c r="F755" s="1">
        <v>149966.37</v>
      </c>
    </row>
    <row r="756" spans="1:6" x14ac:dyDescent="0.35">
      <c r="A756">
        <v>200041</v>
      </c>
      <c r="B756">
        <v>35</v>
      </c>
      <c r="C756" s="1">
        <v>88175.89</v>
      </c>
      <c r="D756">
        <v>22</v>
      </c>
      <c r="E756" s="1">
        <v>61781.24</v>
      </c>
      <c r="F756" s="1">
        <v>149957.13</v>
      </c>
    </row>
    <row r="757" spans="1:6" x14ac:dyDescent="0.35">
      <c r="A757">
        <v>200337</v>
      </c>
      <c r="B757">
        <v>28</v>
      </c>
      <c r="C757" s="1">
        <v>69392.570000000007</v>
      </c>
      <c r="D757">
        <v>31</v>
      </c>
      <c r="E757" s="1">
        <v>80505.98</v>
      </c>
      <c r="F757" s="1">
        <v>149898.54999999999</v>
      </c>
    </row>
    <row r="758" spans="1:6" x14ac:dyDescent="0.35">
      <c r="A758">
        <v>200975</v>
      </c>
      <c r="B758">
        <v>35</v>
      </c>
      <c r="C758" s="1">
        <v>89087.77</v>
      </c>
      <c r="D758">
        <v>31</v>
      </c>
      <c r="E758" s="1">
        <v>60795.56</v>
      </c>
      <c r="F758" s="1">
        <v>149883.32999999999</v>
      </c>
    </row>
    <row r="759" spans="1:6" x14ac:dyDescent="0.35">
      <c r="A759">
        <v>200105</v>
      </c>
      <c r="B759">
        <v>28</v>
      </c>
      <c r="C759" s="1">
        <v>67107.429999999993</v>
      </c>
      <c r="D759">
        <v>34</v>
      </c>
      <c r="E759" s="1">
        <v>82760.52</v>
      </c>
      <c r="F759" s="1">
        <v>149867.95000000001</v>
      </c>
    </row>
    <row r="760" spans="1:6" x14ac:dyDescent="0.35">
      <c r="A760">
        <v>200648</v>
      </c>
      <c r="B760">
        <v>34</v>
      </c>
      <c r="C760" s="1">
        <v>81111.3</v>
      </c>
      <c r="D760">
        <v>24</v>
      </c>
      <c r="E760" s="1">
        <v>68688.87</v>
      </c>
      <c r="F760" s="1">
        <v>149800.16999999899</v>
      </c>
    </row>
    <row r="761" spans="1:6" x14ac:dyDescent="0.35">
      <c r="A761">
        <v>200585</v>
      </c>
      <c r="B761">
        <v>19</v>
      </c>
      <c r="C761" s="1">
        <v>53158.6</v>
      </c>
      <c r="D761">
        <v>32</v>
      </c>
      <c r="E761" s="1">
        <v>96600.52</v>
      </c>
      <c r="F761" s="1">
        <v>149759.12</v>
      </c>
    </row>
    <row r="762" spans="1:6" x14ac:dyDescent="0.35">
      <c r="A762">
        <v>201602</v>
      </c>
      <c r="B762">
        <v>27</v>
      </c>
      <c r="C762" s="1">
        <v>60093.62</v>
      </c>
      <c r="D762">
        <v>30</v>
      </c>
      <c r="E762" s="1">
        <v>89652.98</v>
      </c>
      <c r="F762" s="1">
        <v>149746.6</v>
      </c>
    </row>
    <row r="763" spans="1:6" x14ac:dyDescent="0.35">
      <c r="A763">
        <v>200436</v>
      </c>
      <c r="B763">
        <v>31</v>
      </c>
      <c r="C763" s="1">
        <v>64426.75</v>
      </c>
      <c r="D763">
        <v>35</v>
      </c>
      <c r="E763" s="1">
        <v>85295.07</v>
      </c>
      <c r="F763" s="1">
        <v>149721.82</v>
      </c>
    </row>
    <row r="764" spans="1:6" x14ac:dyDescent="0.35">
      <c r="A764">
        <v>201430</v>
      </c>
      <c r="B764">
        <v>20</v>
      </c>
      <c r="C764" s="1">
        <v>58283.15</v>
      </c>
      <c r="D764">
        <v>37</v>
      </c>
      <c r="E764" s="1">
        <v>91423.83</v>
      </c>
      <c r="F764" s="1">
        <v>149706.98000000001</v>
      </c>
    </row>
    <row r="765" spans="1:6" x14ac:dyDescent="0.35">
      <c r="A765">
        <v>200663</v>
      </c>
      <c r="B765">
        <v>31</v>
      </c>
      <c r="C765" s="1">
        <v>75546.23</v>
      </c>
      <c r="D765">
        <v>27</v>
      </c>
      <c r="E765" s="1">
        <v>74147.839999999997</v>
      </c>
      <c r="F765" s="1">
        <v>149694.07</v>
      </c>
    </row>
    <row r="766" spans="1:6" x14ac:dyDescent="0.35">
      <c r="A766">
        <v>201063</v>
      </c>
      <c r="B766">
        <v>29</v>
      </c>
      <c r="C766" s="1">
        <v>72780.179999999993</v>
      </c>
      <c r="D766">
        <v>32</v>
      </c>
      <c r="E766" s="1">
        <v>76889.440000000002</v>
      </c>
      <c r="F766" s="1">
        <v>149669.62</v>
      </c>
    </row>
    <row r="767" spans="1:6" x14ac:dyDescent="0.35">
      <c r="A767">
        <v>200170</v>
      </c>
      <c r="B767">
        <v>23</v>
      </c>
      <c r="C767" s="1">
        <v>52777.66</v>
      </c>
      <c r="D767">
        <v>35</v>
      </c>
      <c r="E767" s="1">
        <v>96833.57</v>
      </c>
      <c r="F767" s="1">
        <v>149611.23000000001</v>
      </c>
    </row>
    <row r="768" spans="1:6" x14ac:dyDescent="0.35">
      <c r="A768">
        <v>201258</v>
      </c>
      <c r="B768">
        <v>27</v>
      </c>
      <c r="C768" s="1">
        <v>66921.48</v>
      </c>
      <c r="D768">
        <v>40</v>
      </c>
      <c r="E768" s="1">
        <v>82663.75</v>
      </c>
      <c r="F768" s="1">
        <v>149585.22999999899</v>
      </c>
    </row>
    <row r="769" spans="1:6" x14ac:dyDescent="0.35">
      <c r="A769">
        <v>201013</v>
      </c>
      <c r="B769">
        <v>33</v>
      </c>
      <c r="C769" s="1">
        <v>89784.47</v>
      </c>
      <c r="D769">
        <v>23</v>
      </c>
      <c r="E769" s="1">
        <v>59760.39</v>
      </c>
      <c r="F769" s="1">
        <v>149544.85999999999</v>
      </c>
    </row>
    <row r="770" spans="1:6" x14ac:dyDescent="0.35">
      <c r="A770">
        <v>200858</v>
      </c>
      <c r="B770">
        <v>25</v>
      </c>
      <c r="C770" s="1">
        <v>56837.77</v>
      </c>
      <c r="D770">
        <v>36</v>
      </c>
      <c r="E770" s="1">
        <v>92624.42</v>
      </c>
      <c r="F770" s="1">
        <v>149462.19</v>
      </c>
    </row>
    <row r="771" spans="1:6" x14ac:dyDescent="0.35">
      <c r="A771">
        <v>200291</v>
      </c>
      <c r="B771">
        <v>30</v>
      </c>
      <c r="C771" s="1">
        <v>79538.759999999995</v>
      </c>
      <c r="D771">
        <v>23</v>
      </c>
      <c r="E771" s="1">
        <v>69910.86</v>
      </c>
      <c r="F771" s="1">
        <v>149449.62</v>
      </c>
    </row>
    <row r="772" spans="1:6" x14ac:dyDescent="0.35">
      <c r="A772">
        <v>200765</v>
      </c>
      <c r="B772">
        <v>26</v>
      </c>
      <c r="C772" s="1">
        <v>66567.73</v>
      </c>
      <c r="D772">
        <v>36</v>
      </c>
      <c r="E772" s="1">
        <v>82730.33</v>
      </c>
      <c r="F772" s="1">
        <v>149298.06</v>
      </c>
    </row>
    <row r="773" spans="1:6" x14ac:dyDescent="0.35">
      <c r="A773">
        <v>200593</v>
      </c>
      <c r="B773">
        <v>33</v>
      </c>
      <c r="C773" s="1">
        <v>83709.7</v>
      </c>
      <c r="D773">
        <v>27</v>
      </c>
      <c r="E773" s="1">
        <v>65579.33</v>
      </c>
      <c r="F773" s="1">
        <v>149289.03</v>
      </c>
    </row>
    <row r="774" spans="1:6" x14ac:dyDescent="0.35">
      <c r="A774">
        <v>200211</v>
      </c>
      <c r="B774">
        <v>33</v>
      </c>
      <c r="C774" s="1">
        <v>69490.14</v>
      </c>
      <c r="D774">
        <v>30</v>
      </c>
      <c r="E774" s="1">
        <v>79750.850000000006</v>
      </c>
      <c r="F774" s="1">
        <v>149240.99</v>
      </c>
    </row>
    <row r="775" spans="1:6" x14ac:dyDescent="0.35">
      <c r="A775">
        <v>200876</v>
      </c>
      <c r="B775">
        <v>37</v>
      </c>
      <c r="C775" s="1">
        <v>96846.2</v>
      </c>
      <c r="D775">
        <v>19</v>
      </c>
      <c r="E775" s="1">
        <v>52360.82</v>
      </c>
      <c r="F775" s="1">
        <v>149207.01999999999</v>
      </c>
    </row>
    <row r="776" spans="1:6" x14ac:dyDescent="0.35">
      <c r="A776">
        <v>200995</v>
      </c>
      <c r="B776">
        <v>40</v>
      </c>
      <c r="C776" s="1">
        <v>88628.7</v>
      </c>
      <c r="D776">
        <v>24</v>
      </c>
      <c r="E776" s="1">
        <v>60571.28</v>
      </c>
      <c r="F776" s="1">
        <v>149199.97999999899</v>
      </c>
    </row>
    <row r="777" spans="1:6" x14ac:dyDescent="0.35">
      <c r="A777">
        <v>200905</v>
      </c>
      <c r="B777">
        <v>27</v>
      </c>
      <c r="C777" s="1">
        <v>70530.25</v>
      </c>
      <c r="D777">
        <v>30</v>
      </c>
      <c r="E777" s="1">
        <v>78634.09</v>
      </c>
      <c r="F777" s="1">
        <v>149164.34</v>
      </c>
    </row>
    <row r="778" spans="1:6" x14ac:dyDescent="0.35">
      <c r="A778">
        <v>200471</v>
      </c>
      <c r="B778">
        <v>26</v>
      </c>
      <c r="C778" s="1">
        <v>69571.009999999995</v>
      </c>
      <c r="D778">
        <v>31</v>
      </c>
      <c r="E778" s="1">
        <v>79557.83</v>
      </c>
      <c r="F778" s="1">
        <v>149128.84</v>
      </c>
    </row>
    <row r="779" spans="1:6" x14ac:dyDescent="0.35">
      <c r="A779">
        <v>201456</v>
      </c>
      <c r="B779">
        <v>33</v>
      </c>
      <c r="C779" s="1">
        <v>93539.78</v>
      </c>
      <c r="D779">
        <v>29</v>
      </c>
      <c r="E779" s="1">
        <v>55545.760000000002</v>
      </c>
      <c r="F779" s="1">
        <v>149085.54</v>
      </c>
    </row>
    <row r="780" spans="1:6" x14ac:dyDescent="0.35">
      <c r="A780">
        <v>200941</v>
      </c>
      <c r="B780">
        <v>21</v>
      </c>
      <c r="C780" s="1">
        <v>57386.89</v>
      </c>
      <c r="D780">
        <v>41</v>
      </c>
      <c r="E780" s="1">
        <v>91685.11</v>
      </c>
      <c r="F780" s="1">
        <v>149072</v>
      </c>
    </row>
    <row r="781" spans="1:6" x14ac:dyDescent="0.35">
      <c r="A781">
        <v>200005</v>
      </c>
      <c r="B781">
        <v>31</v>
      </c>
      <c r="C781" s="1">
        <v>77357.81</v>
      </c>
      <c r="D781">
        <v>30</v>
      </c>
      <c r="E781" s="1">
        <v>71665.59</v>
      </c>
      <c r="F781" s="1">
        <v>149023.4</v>
      </c>
    </row>
    <row r="782" spans="1:6" x14ac:dyDescent="0.35">
      <c r="A782">
        <v>200374</v>
      </c>
      <c r="B782">
        <v>33</v>
      </c>
      <c r="C782" s="1">
        <v>88932.43</v>
      </c>
      <c r="D782">
        <v>28</v>
      </c>
      <c r="E782" s="1">
        <v>60031.98</v>
      </c>
      <c r="F782" s="1">
        <v>148964.41</v>
      </c>
    </row>
    <row r="783" spans="1:6" x14ac:dyDescent="0.35">
      <c r="A783">
        <v>201533</v>
      </c>
      <c r="B783">
        <v>24</v>
      </c>
      <c r="C783" s="1">
        <v>60091.519999999997</v>
      </c>
      <c r="D783">
        <v>40</v>
      </c>
      <c r="E783" s="1">
        <v>88842.71</v>
      </c>
      <c r="F783" s="1">
        <v>148934.23000000001</v>
      </c>
    </row>
    <row r="784" spans="1:6" x14ac:dyDescent="0.35">
      <c r="A784">
        <v>201065</v>
      </c>
      <c r="B784">
        <v>37</v>
      </c>
      <c r="C784" s="1">
        <v>77920.25</v>
      </c>
      <c r="D784">
        <v>35</v>
      </c>
      <c r="E784" s="1">
        <v>71011.28</v>
      </c>
      <c r="F784" s="1">
        <v>148931.53</v>
      </c>
    </row>
    <row r="785" spans="1:6" x14ac:dyDescent="0.35">
      <c r="A785">
        <v>200584</v>
      </c>
      <c r="B785">
        <v>26</v>
      </c>
      <c r="C785" s="1">
        <v>53810.720000000001</v>
      </c>
      <c r="D785">
        <v>35</v>
      </c>
      <c r="E785" s="1">
        <v>95109.84</v>
      </c>
      <c r="F785" s="1">
        <v>148920.56</v>
      </c>
    </row>
    <row r="786" spans="1:6" x14ac:dyDescent="0.35">
      <c r="A786">
        <v>200173</v>
      </c>
      <c r="B786">
        <v>34</v>
      </c>
      <c r="C786" s="1">
        <v>90708.47</v>
      </c>
      <c r="D786">
        <v>25</v>
      </c>
      <c r="E786" s="1">
        <v>58209.51</v>
      </c>
      <c r="F786" s="1">
        <v>148917.98000000001</v>
      </c>
    </row>
    <row r="787" spans="1:6" x14ac:dyDescent="0.35">
      <c r="A787">
        <v>200564</v>
      </c>
      <c r="B787">
        <v>40</v>
      </c>
      <c r="C787" s="1">
        <v>101605.48</v>
      </c>
      <c r="D787">
        <v>22</v>
      </c>
      <c r="E787" s="1">
        <v>47248.52</v>
      </c>
      <c r="F787" s="1">
        <v>148854</v>
      </c>
    </row>
    <row r="788" spans="1:6" x14ac:dyDescent="0.35">
      <c r="A788">
        <v>201334</v>
      </c>
      <c r="B788">
        <v>39</v>
      </c>
      <c r="C788" s="1">
        <v>88389.19</v>
      </c>
      <c r="D788">
        <v>26</v>
      </c>
      <c r="E788" s="1">
        <v>60456.26</v>
      </c>
      <c r="F788" s="1">
        <v>148845.45000000001</v>
      </c>
    </row>
    <row r="789" spans="1:6" x14ac:dyDescent="0.35">
      <c r="A789">
        <v>200466</v>
      </c>
      <c r="B789">
        <v>29</v>
      </c>
      <c r="C789" s="1">
        <v>70127.47</v>
      </c>
      <c r="D789">
        <v>28</v>
      </c>
      <c r="E789" s="1">
        <v>78711.600000000006</v>
      </c>
      <c r="F789" s="1">
        <v>148839.07</v>
      </c>
    </row>
    <row r="790" spans="1:6" x14ac:dyDescent="0.35">
      <c r="A790">
        <v>200106</v>
      </c>
      <c r="B790">
        <v>29</v>
      </c>
      <c r="C790" s="1">
        <v>62821.93</v>
      </c>
      <c r="D790">
        <v>31</v>
      </c>
      <c r="E790" s="1">
        <v>85991.039999999994</v>
      </c>
      <c r="F790" s="1">
        <v>148812.97</v>
      </c>
    </row>
    <row r="791" spans="1:6" x14ac:dyDescent="0.35">
      <c r="A791">
        <v>200207</v>
      </c>
      <c r="B791">
        <v>35</v>
      </c>
      <c r="C791" s="1">
        <v>80720.09</v>
      </c>
      <c r="D791">
        <v>29</v>
      </c>
      <c r="E791" s="1">
        <v>68053.03</v>
      </c>
      <c r="F791" s="1">
        <v>148773.12</v>
      </c>
    </row>
    <row r="792" spans="1:6" x14ac:dyDescent="0.35">
      <c r="A792">
        <v>201375</v>
      </c>
      <c r="B792">
        <v>30</v>
      </c>
      <c r="C792" s="1">
        <v>69021.08</v>
      </c>
      <c r="D792">
        <v>33</v>
      </c>
      <c r="E792" s="1">
        <v>79744.320000000007</v>
      </c>
      <c r="F792" s="1">
        <v>148765.4</v>
      </c>
    </row>
    <row r="793" spans="1:6" x14ac:dyDescent="0.35">
      <c r="A793">
        <v>200930</v>
      </c>
      <c r="B793">
        <v>31</v>
      </c>
      <c r="C793" s="1">
        <v>69388.800000000003</v>
      </c>
      <c r="D793">
        <v>34</v>
      </c>
      <c r="E793" s="1">
        <v>79278.5</v>
      </c>
      <c r="F793" s="1">
        <v>148667.29999999999</v>
      </c>
    </row>
    <row r="794" spans="1:6" x14ac:dyDescent="0.35">
      <c r="A794">
        <v>200772</v>
      </c>
      <c r="B794">
        <v>23</v>
      </c>
      <c r="C794" s="1">
        <v>60869.31</v>
      </c>
      <c r="D794">
        <v>35</v>
      </c>
      <c r="E794" s="1">
        <v>87752.62</v>
      </c>
      <c r="F794" s="1">
        <v>148621.93</v>
      </c>
    </row>
    <row r="795" spans="1:6" x14ac:dyDescent="0.35">
      <c r="A795">
        <v>201392</v>
      </c>
      <c r="B795">
        <v>25</v>
      </c>
      <c r="C795" s="1">
        <v>72732.100000000006</v>
      </c>
      <c r="D795">
        <v>33</v>
      </c>
      <c r="E795" s="1">
        <v>75875.75</v>
      </c>
      <c r="F795" s="1">
        <v>148607.85</v>
      </c>
    </row>
    <row r="796" spans="1:6" x14ac:dyDescent="0.35">
      <c r="A796">
        <v>200463</v>
      </c>
      <c r="B796">
        <v>25</v>
      </c>
      <c r="C796" s="1">
        <v>69208.639999999999</v>
      </c>
      <c r="D796">
        <v>33</v>
      </c>
      <c r="E796" s="1">
        <v>79393.149999999994</v>
      </c>
      <c r="F796" s="1">
        <v>148601.78999999899</v>
      </c>
    </row>
    <row r="797" spans="1:6" x14ac:dyDescent="0.35">
      <c r="A797">
        <v>201153</v>
      </c>
      <c r="B797">
        <v>30</v>
      </c>
      <c r="C797" s="1">
        <v>72392.23</v>
      </c>
      <c r="D797">
        <v>35</v>
      </c>
      <c r="E797" s="1">
        <v>76206.039999999994</v>
      </c>
      <c r="F797" s="1">
        <v>148598.26999999999</v>
      </c>
    </row>
    <row r="798" spans="1:6" x14ac:dyDescent="0.35">
      <c r="A798">
        <v>201017</v>
      </c>
      <c r="B798">
        <v>29</v>
      </c>
      <c r="C798" s="1">
        <v>74840.02</v>
      </c>
      <c r="D798">
        <v>32</v>
      </c>
      <c r="E798" s="1">
        <v>73758.2</v>
      </c>
      <c r="F798" s="1">
        <v>148598.22</v>
      </c>
    </row>
    <row r="799" spans="1:6" x14ac:dyDescent="0.35">
      <c r="A799">
        <v>200631</v>
      </c>
      <c r="B799">
        <v>32</v>
      </c>
      <c r="C799" s="1">
        <v>77241.16</v>
      </c>
      <c r="D799">
        <v>26</v>
      </c>
      <c r="E799" s="1">
        <v>71351.81</v>
      </c>
      <c r="F799" s="1">
        <v>148592.97</v>
      </c>
    </row>
    <row r="800" spans="1:6" x14ac:dyDescent="0.35">
      <c r="A800">
        <v>200675</v>
      </c>
      <c r="B800">
        <v>33</v>
      </c>
      <c r="C800" s="1">
        <v>82805.05</v>
      </c>
      <c r="D800">
        <v>26</v>
      </c>
      <c r="E800" s="1">
        <v>65761.679999999993</v>
      </c>
      <c r="F800" s="1">
        <v>148566.72999999899</v>
      </c>
    </row>
    <row r="801" spans="1:6" x14ac:dyDescent="0.35">
      <c r="A801">
        <v>201414</v>
      </c>
      <c r="B801">
        <v>29</v>
      </c>
      <c r="C801" s="1">
        <v>82055.95</v>
      </c>
      <c r="D801">
        <v>33</v>
      </c>
      <c r="E801" s="1">
        <v>66491.09</v>
      </c>
      <c r="F801" s="1">
        <v>148547.03999999899</v>
      </c>
    </row>
    <row r="802" spans="1:6" x14ac:dyDescent="0.35">
      <c r="A802">
        <v>201489</v>
      </c>
      <c r="B802">
        <v>32</v>
      </c>
      <c r="C802" s="1">
        <v>75538.16</v>
      </c>
      <c r="D802">
        <v>32</v>
      </c>
      <c r="E802" s="1">
        <v>72988.820000000007</v>
      </c>
      <c r="F802" s="1">
        <v>148526.98000000001</v>
      </c>
    </row>
    <row r="803" spans="1:6" x14ac:dyDescent="0.35">
      <c r="A803">
        <v>200452</v>
      </c>
      <c r="B803">
        <v>25</v>
      </c>
      <c r="C803" s="1">
        <v>52361.88</v>
      </c>
      <c r="D803">
        <v>36</v>
      </c>
      <c r="E803" s="1">
        <v>96139.45</v>
      </c>
      <c r="F803" s="1">
        <v>148501.32999999999</v>
      </c>
    </row>
    <row r="804" spans="1:6" x14ac:dyDescent="0.35">
      <c r="A804">
        <v>200185</v>
      </c>
      <c r="B804">
        <v>34</v>
      </c>
      <c r="C804" s="1">
        <v>81209.8</v>
      </c>
      <c r="D804">
        <v>30</v>
      </c>
      <c r="E804" s="1">
        <v>67259.28</v>
      </c>
      <c r="F804" s="1">
        <v>148469.07999999999</v>
      </c>
    </row>
    <row r="805" spans="1:6" x14ac:dyDescent="0.35">
      <c r="A805">
        <v>200257</v>
      </c>
      <c r="B805">
        <v>33</v>
      </c>
      <c r="C805" s="1">
        <v>77882.16</v>
      </c>
      <c r="D805">
        <v>30</v>
      </c>
      <c r="E805" s="1">
        <v>70508.06</v>
      </c>
      <c r="F805" s="1">
        <v>148390.22</v>
      </c>
    </row>
    <row r="806" spans="1:6" x14ac:dyDescent="0.35">
      <c r="A806">
        <v>201639</v>
      </c>
      <c r="B806">
        <v>31</v>
      </c>
      <c r="C806" s="1">
        <v>81603.38</v>
      </c>
      <c r="D806">
        <v>30</v>
      </c>
      <c r="E806" s="1">
        <v>66773.95</v>
      </c>
      <c r="F806" s="1">
        <v>148377.32999999999</v>
      </c>
    </row>
    <row r="807" spans="1:6" x14ac:dyDescent="0.35">
      <c r="A807">
        <v>200592</v>
      </c>
      <c r="B807">
        <v>26</v>
      </c>
      <c r="C807" s="1">
        <v>62007.27</v>
      </c>
      <c r="D807">
        <v>31</v>
      </c>
      <c r="E807" s="1">
        <v>86350.33</v>
      </c>
      <c r="F807" s="1">
        <v>148357.6</v>
      </c>
    </row>
    <row r="808" spans="1:6" x14ac:dyDescent="0.35">
      <c r="A808">
        <v>200047</v>
      </c>
      <c r="B808">
        <v>30</v>
      </c>
      <c r="C808" s="1">
        <v>65567.66</v>
      </c>
      <c r="D808">
        <v>29</v>
      </c>
      <c r="E808" s="1">
        <v>82748.759999999995</v>
      </c>
      <c r="F808" s="1">
        <v>148316.41999999899</v>
      </c>
    </row>
    <row r="809" spans="1:6" x14ac:dyDescent="0.35">
      <c r="A809">
        <v>200432</v>
      </c>
      <c r="B809">
        <v>26</v>
      </c>
      <c r="C809" s="1">
        <v>58909.22</v>
      </c>
      <c r="D809">
        <v>34</v>
      </c>
      <c r="E809" s="1">
        <v>89385.63</v>
      </c>
      <c r="F809" s="1">
        <v>148294.85</v>
      </c>
    </row>
    <row r="810" spans="1:6" x14ac:dyDescent="0.35">
      <c r="A810">
        <v>200940</v>
      </c>
      <c r="B810">
        <v>30</v>
      </c>
      <c r="C810" s="1">
        <v>76199.72</v>
      </c>
      <c r="D810">
        <v>28</v>
      </c>
      <c r="E810" s="1">
        <v>72040.66</v>
      </c>
      <c r="F810" s="1">
        <v>148240.38</v>
      </c>
    </row>
    <row r="811" spans="1:6" x14ac:dyDescent="0.35">
      <c r="A811">
        <v>200329</v>
      </c>
      <c r="B811">
        <v>34</v>
      </c>
      <c r="C811" s="1">
        <v>90087.86</v>
      </c>
      <c r="D811">
        <v>24</v>
      </c>
      <c r="E811" s="1">
        <v>58046.35</v>
      </c>
      <c r="F811" s="1">
        <v>148134.21</v>
      </c>
    </row>
    <row r="812" spans="1:6" x14ac:dyDescent="0.35">
      <c r="A812">
        <v>200749</v>
      </c>
      <c r="B812">
        <v>26</v>
      </c>
      <c r="C812" s="1">
        <v>64953.98</v>
      </c>
      <c r="D812">
        <v>29</v>
      </c>
      <c r="E812" s="1">
        <v>83177.91</v>
      </c>
      <c r="F812" s="1">
        <v>148131.89000000001</v>
      </c>
    </row>
    <row r="813" spans="1:6" x14ac:dyDescent="0.35">
      <c r="A813">
        <v>201364</v>
      </c>
      <c r="B813">
        <v>34</v>
      </c>
      <c r="C813" s="1">
        <v>79745.56</v>
      </c>
      <c r="D813">
        <v>25</v>
      </c>
      <c r="E813" s="1">
        <v>68379.3</v>
      </c>
      <c r="F813" s="1">
        <v>148124.85999999999</v>
      </c>
    </row>
    <row r="814" spans="1:6" x14ac:dyDescent="0.35">
      <c r="A814">
        <v>201385</v>
      </c>
      <c r="B814">
        <v>27</v>
      </c>
      <c r="C814" s="1">
        <v>64161.440000000002</v>
      </c>
      <c r="D814">
        <v>32</v>
      </c>
      <c r="E814" s="1">
        <v>83824.89</v>
      </c>
      <c r="F814" s="1">
        <v>147986.32999999999</v>
      </c>
    </row>
    <row r="815" spans="1:6" x14ac:dyDescent="0.35">
      <c r="A815">
        <v>200338</v>
      </c>
      <c r="B815">
        <v>26</v>
      </c>
      <c r="C815" s="1">
        <v>66430.84</v>
      </c>
      <c r="D815">
        <v>33</v>
      </c>
      <c r="E815" s="1">
        <v>81544.33</v>
      </c>
      <c r="F815" s="1">
        <v>147975.16999999899</v>
      </c>
    </row>
    <row r="816" spans="1:6" x14ac:dyDescent="0.35">
      <c r="A816">
        <v>200740</v>
      </c>
      <c r="B816">
        <v>38</v>
      </c>
      <c r="C816" s="1">
        <v>82039.320000000007</v>
      </c>
      <c r="D816">
        <v>29</v>
      </c>
      <c r="E816" s="1">
        <v>65854.149999999994</v>
      </c>
      <c r="F816" s="1">
        <v>147893.47</v>
      </c>
    </row>
    <row r="817" spans="1:6" x14ac:dyDescent="0.35">
      <c r="A817">
        <v>200009</v>
      </c>
      <c r="B817">
        <v>28</v>
      </c>
      <c r="C817" s="1">
        <v>76339.5</v>
      </c>
      <c r="D817">
        <v>29</v>
      </c>
      <c r="E817" s="1">
        <v>71541.649999999994</v>
      </c>
      <c r="F817" s="1">
        <v>147881.15</v>
      </c>
    </row>
    <row r="818" spans="1:6" x14ac:dyDescent="0.35">
      <c r="A818">
        <v>200382</v>
      </c>
      <c r="B818">
        <v>41</v>
      </c>
      <c r="C818" s="1">
        <v>85490.23</v>
      </c>
      <c r="D818">
        <v>25</v>
      </c>
      <c r="E818" s="1">
        <v>62355.18</v>
      </c>
      <c r="F818" s="1">
        <v>147845.41</v>
      </c>
    </row>
    <row r="819" spans="1:6" x14ac:dyDescent="0.35">
      <c r="A819">
        <v>201137</v>
      </c>
      <c r="B819">
        <v>31</v>
      </c>
      <c r="C819" s="1">
        <v>70561.25</v>
      </c>
      <c r="D819">
        <v>29</v>
      </c>
      <c r="E819" s="1">
        <v>77263.009999999995</v>
      </c>
      <c r="F819" s="1">
        <v>147824.26</v>
      </c>
    </row>
    <row r="820" spans="1:6" x14ac:dyDescent="0.35">
      <c r="A820">
        <v>200181</v>
      </c>
      <c r="B820">
        <v>28</v>
      </c>
      <c r="C820" s="1">
        <v>62898.28</v>
      </c>
      <c r="D820">
        <v>28</v>
      </c>
      <c r="E820" s="1">
        <v>84917.87</v>
      </c>
      <c r="F820" s="1">
        <v>147816.15</v>
      </c>
    </row>
    <row r="821" spans="1:6" x14ac:dyDescent="0.35">
      <c r="A821">
        <v>201328</v>
      </c>
      <c r="B821">
        <v>38</v>
      </c>
      <c r="C821" s="1">
        <v>90382.26</v>
      </c>
      <c r="D821">
        <v>24</v>
      </c>
      <c r="E821" s="1">
        <v>57431.28</v>
      </c>
      <c r="F821" s="1">
        <v>147813.53999999899</v>
      </c>
    </row>
    <row r="822" spans="1:6" x14ac:dyDescent="0.35">
      <c r="A822">
        <v>201091</v>
      </c>
      <c r="B822">
        <v>25</v>
      </c>
      <c r="C822" s="1">
        <v>72317.600000000006</v>
      </c>
      <c r="D822">
        <v>28</v>
      </c>
      <c r="E822" s="1">
        <v>75454.53</v>
      </c>
      <c r="F822" s="1">
        <v>147772.13</v>
      </c>
    </row>
    <row r="823" spans="1:6" x14ac:dyDescent="0.35">
      <c r="A823">
        <v>201038</v>
      </c>
      <c r="B823">
        <v>24</v>
      </c>
      <c r="C823" s="1">
        <v>59973.48</v>
      </c>
      <c r="D823">
        <v>36</v>
      </c>
      <c r="E823" s="1">
        <v>87724.46</v>
      </c>
      <c r="F823" s="1">
        <v>147697.94</v>
      </c>
    </row>
    <row r="824" spans="1:6" x14ac:dyDescent="0.35">
      <c r="A824">
        <v>201333</v>
      </c>
      <c r="B824">
        <v>32</v>
      </c>
      <c r="C824" s="1">
        <v>71874.17</v>
      </c>
      <c r="D824">
        <v>31</v>
      </c>
      <c r="E824" s="1">
        <v>75807.3</v>
      </c>
      <c r="F824" s="1">
        <v>147681.47</v>
      </c>
    </row>
    <row r="825" spans="1:6" x14ac:dyDescent="0.35">
      <c r="A825">
        <v>200489</v>
      </c>
      <c r="B825">
        <v>34</v>
      </c>
      <c r="C825" s="1">
        <v>94119.33</v>
      </c>
      <c r="D825">
        <v>21</v>
      </c>
      <c r="E825" s="1">
        <v>53481.04</v>
      </c>
      <c r="F825" s="1">
        <v>147600.37</v>
      </c>
    </row>
    <row r="826" spans="1:6" x14ac:dyDescent="0.35">
      <c r="A826">
        <v>201072</v>
      </c>
      <c r="B826">
        <v>28</v>
      </c>
      <c r="C826" s="1">
        <v>79632.11</v>
      </c>
      <c r="D826">
        <v>28</v>
      </c>
      <c r="E826" s="1">
        <v>67963.490000000005</v>
      </c>
      <c r="F826" s="1">
        <v>147595.6</v>
      </c>
    </row>
    <row r="827" spans="1:6" x14ac:dyDescent="0.35">
      <c r="A827">
        <v>201453</v>
      </c>
      <c r="B827">
        <v>23</v>
      </c>
      <c r="C827" s="1">
        <v>65318</v>
      </c>
      <c r="D827">
        <v>35</v>
      </c>
      <c r="E827" s="1">
        <v>82236.179999999993</v>
      </c>
      <c r="F827" s="1">
        <v>147554.18</v>
      </c>
    </row>
    <row r="828" spans="1:6" x14ac:dyDescent="0.35">
      <c r="A828">
        <v>200841</v>
      </c>
      <c r="B828">
        <v>33</v>
      </c>
      <c r="C828" s="1">
        <v>92484.91</v>
      </c>
      <c r="D828">
        <v>26</v>
      </c>
      <c r="E828" s="1">
        <v>55030.55</v>
      </c>
      <c r="F828" s="1">
        <v>147515.46</v>
      </c>
    </row>
    <row r="829" spans="1:6" x14ac:dyDescent="0.35">
      <c r="A829">
        <v>200314</v>
      </c>
      <c r="B829">
        <v>29</v>
      </c>
      <c r="C829" s="1">
        <v>65335.47</v>
      </c>
      <c r="D829">
        <v>30</v>
      </c>
      <c r="E829" s="1">
        <v>82179.94</v>
      </c>
      <c r="F829" s="1">
        <v>147515.41</v>
      </c>
    </row>
    <row r="830" spans="1:6" x14ac:dyDescent="0.35">
      <c r="A830">
        <v>201001</v>
      </c>
      <c r="B830">
        <v>34</v>
      </c>
      <c r="C830" s="1">
        <v>80284.320000000007</v>
      </c>
      <c r="D830">
        <v>32</v>
      </c>
      <c r="E830" s="1">
        <v>67159.88</v>
      </c>
      <c r="F830" s="1">
        <v>147444.20000000001</v>
      </c>
    </row>
    <row r="831" spans="1:6" x14ac:dyDescent="0.35">
      <c r="A831">
        <v>201413</v>
      </c>
      <c r="B831">
        <v>27</v>
      </c>
      <c r="C831" s="1">
        <v>61089.18</v>
      </c>
      <c r="D831">
        <v>33</v>
      </c>
      <c r="E831" s="1">
        <v>86332.52</v>
      </c>
      <c r="F831" s="1">
        <v>147421.70000000001</v>
      </c>
    </row>
    <row r="832" spans="1:6" x14ac:dyDescent="0.35">
      <c r="A832">
        <v>200420</v>
      </c>
      <c r="B832">
        <v>28</v>
      </c>
      <c r="C832" s="1">
        <v>60206.92</v>
      </c>
      <c r="D832">
        <v>31</v>
      </c>
      <c r="E832" s="1">
        <v>87211.74</v>
      </c>
      <c r="F832" s="1">
        <v>147418.66</v>
      </c>
    </row>
    <row r="833" spans="1:6" x14ac:dyDescent="0.35">
      <c r="A833">
        <v>201020</v>
      </c>
      <c r="B833">
        <v>34</v>
      </c>
      <c r="C833" s="1">
        <v>69306.039999999994</v>
      </c>
      <c r="D833">
        <v>29</v>
      </c>
      <c r="E833" s="1">
        <v>78092.17</v>
      </c>
      <c r="F833" s="1">
        <v>147398.21</v>
      </c>
    </row>
    <row r="834" spans="1:6" x14ac:dyDescent="0.35">
      <c r="A834">
        <v>201226</v>
      </c>
      <c r="B834">
        <v>33</v>
      </c>
      <c r="C834" s="1">
        <v>84908.5</v>
      </c>
      <c r="D834">
        <v>29</v>
      </c>
      <c r="E834" s="1">
        <v>62454.67</v>
      </c>
      <c r="F834" s="1">
        <v>147363.16999999899</v>
      </c>
    </row>
    <row r="835" spans="1:6" x14ac:dyDescent="0.35">
      <c r="A835">
        <v>201356</v>
      </c>
      <c r="B835">
        <v>32</v>
      </c>
      <c r="C835" s="1">
        <v>83356.37</v>
      </c>
      <c r="D835">
        <v>27</v>
      </c>
      <c r="E835" s="1">
        <v>64001.66</v>
      </c>
      <c r="F835" s="1">
        <v>147358.03</v>
      </c>
    </row>
    <row r="836" spans="1:6" x14ac:dyDescent="0.35">
      <c r="A836">
        <v>200159</v>
      </c>
      <c r="B836">
        <v>35</v>
      </c>
      <c r="C836" s="1">
        <v>83446.990000000005</v>
      </c>
      <c r="D836">
        <v>27</v>
      </c>
      <c r="E836" s="1">
        <v>63904.92</v>
      </c>
      <c r="F836" s="1">
        <v>147351.91</v>
      </c>
    </row>
    <row r="837" spans="1:6" x14ac:dyDescent="0.35">
      <c r="A837">
        <v>201179</v>
      </c>
      <c r="B837">
        <v>28</v>
      </c>
      <c r="C837" s="1">
        <v>79786.39</v>
      </c>
      <c r="D837">
        <v>25</v>
      </c>
      <c r="E837" s="1">
        <v>67557.02</v>
      </c>
      <c r="F837" s="1">
        <v>147343.41</v>
      </c>
    </row>
    <row r="838" spans="1:6" x14ac:dyDescent="0.35">
      <c r="A838">
        <v>200646</v>
      </c>
      <c r="B838">
        <v>32</v>
      </c>
      <c r="C838" s="1">
        <v>93491.58</v>
      </c>
      <c r="D838">
        <v>20</v>
      </c>
      <c r="E838" s="1">
        <v>53829.19</v>
      </c>
      <c r="F838" s="1">
        <v>147320.76999999999</v>
      </c>
    </row>
    <row r="839" spans="1:6" x14ac:dyDescent="0.35">
      <c r="A839">
        <v>200111</v>
      </c>
      <c r="B839">
        <v>37</v>
      </c>
      <c r="C839" s="1">
        <v>80815.78</v>
      </c>
      <c r="D839">
        <v>31</v>
      </c>
      <c r="E839" s="1">
        <v>66445.98</v>
      </c>
      <c r="F839" s="1">
        <v>147261.76000000001</v>
      </c>
    </row>
    <row r="840" spans="1:6" x14ac:dyDescent="0.35">
      <c r="A840">
        <v>200892</v>
      </c>
      <c r="B840">
        <v>28</v>
      </c>
      <c r="C840" s="1">
        <v>82477.98</v>
      </c>
      <c r="D840">
        <v>28</v>
      </c>
      <c r="E840" s="1">
        <v>64758.55</v>
      </c>
      <c r="F840" s="1">
        <v>147236.53</v>
      </c>
    </row>
    <row r="841" spans="1:6" x14ac:dyDescent="0.35">
      <c r="A841">
        <v>201491</v>
      </c>
      <c r="B841">
        <v>21</v>
      </c>
      <c r="C841" s="1">
        <v>51286.720000000001</v>
      </c>
      <c r="D841">
        <v>43</v>
      </c>
      <c r="E841" s="1">
        <v>95943.3</v>
      </c>
      <c r="F841" s="1">
        <v>147230.01999999999</v>
      </c>
    </row>
    <row r="842" spans="1:6" x14ac:dyDescent="0.35">
      <c r="A842">
        <v>201173</v>
      </c>
      <c r="B842">
        <v>30</v>
      </c>
      <c r="C842" s="1">
        <v>83583.350000000006</v>
      </c>
      <c r="D842">
        <v>32</v>
      </c>
      <c r="E842" s="1">
        <v>63607.08</v>
      </c>
      <c r="F842" s="1">
        <v>147190.43</v>
      </c>
    </row>
    <row r="843" spans="1:6" x14ac:dyDescent="0.35">
      <c r="A843">
        <v>201622</v>
      </c>
      <c r="B843">
        <v>34</v>
      </c>
      <c r="C843" s="1">
        <v>69437.899999999994</v>
      </c>
      <c r="D843">
        <v>29</v>
      </c>
      <c r="E843" s="1">
        <v>77721.990000000005</v>
      </c>
      <c r="F843" s="1">
        <v>147159.89000000001</v>
      </c>
    </row>
    <row r="844" spans="1:6" x14ac:dyDescent="0.35">
      <c r="A844">
        <v>201567</v>
      </c>
      <c r="B844">
        <v>25</v>
      </c>
      <c r="C844" s="1">
        <v>58539.69</v>
      </c>
      <c r="D844">
        <v>36</v>
      </c>
      <c r="E844" s="1">
        <v>88578.16</v>
      </c>
      <c r="F844" s="1">
        <v>147117.85</v>
      </c>
    </row>
    <row r="845" spans="1:6" x14ac:dyDescent="0.35">
      <c r="A845">
        <v>201512</v>
      </c>
      <c r="B845">
        <v>28</v>
      </c>
      <c r="C845" s="1">
        <v>64737.45</v>
      </c>
      <c r="D845">
        <v>30</v>
      </c>
      <c r="E845" s="1">
        <v>82359.05</v>
      </c>
      <c r="F845" s="1">
        <v>147096.5</v>
      </c>
    </row>
    <row r="846" spans="1:6" x14ac:dyDescent="0.35">
      <c r="A846">
        <v>201188</v>
      </c>
      <c r="B846">
        <v>25</v>
      </c>
      <c r="C846" s="1">
        <v>63319.03</v>
      </c>
      <c r="D846">
        <v>31</v>
      </c>
      <c r="E846" s="1">
        <v>83760.92</v>
      </c>
      <c r="F846" s="1">
        <v>147079.95000000001</v>
      </c>
    </row>
    <row r="847" spans="1:6" x14ac:dyDescent="0.35">
      <c r="A847">
        <v>200303</v>
      </c>
      <c r="B847">
        <v>29</v>
      </c>
      <c r="C847" s="1">
        <v>69042.009999999995</v>
      </c>
      <c r="D847">
        <v>31</v>
      </c>
      <c r="E847" s="1">
        <v>78033.11</v>
      </c>
      <c r="F847" s="1">
        <v>147075.12</v>
      </c>
    </row>
    <row r="848" spans="1:6" x14ac:dyDescent="0.35">
      <c r="A848">
        <v>201217</v>
      </c>
      <c r="B848">
        <v>25</v>
      </c>
      <c r="C848" s="1">
        <v>69652.44</v>
      </c>
      <c r="D848">
        <v>31</v>
      </c>
      <c r="E848" s="1">
        <v>77419.100000000006</v>
      </c>
      <c r="F848" s="1">
        <v>147071.54</v>
      </c>
    </row>
    <row r="849" spans="1:6" x14ac:dyDescent="0.35">
      <c r="A849">
        <v>200461</v>
      </c>
      <c r="B849">
        <v>26</v>
      </c>
      <c r="C849" s="1">
        <v>76961.399999999994</v>
      </c>
      <c r="D849">
        <v>33</v>
      </c>
      <c r="E849" s="1">
        <v>70109</v>
      </c>
      <c r="F849" s="1">
        <v>147070.39999999999</v>
      </c>
    </row>
    <row r="850" spans="1:6" x14ac:dyDescent="0.35">
      <c r="A850">
        <v>200774</v>
      </c>
      <c r="B850">
        <v>38</v>
      </c>
      <c r="C850" s="1">
        <v>98178.54</v>
      </c>
      <c r="D850">
        <v>21</v>
      </c>
      <c r="E850" s="1">
        <v>48867.13</v>
      </c>
      <c r="F850" s="1">
        <v>147045.66999999899</v>
      </c>
    </row>
    <row r="851" spans="1:6" x14ac:dyDescent="0.35">
      <c r="A851">
        <v>201266</v>
      </c>
      <c r="B851">
        <v>33</v>
      </c>
      <c r="C851" s="1">
        <v>93357.79</v>
      </c>
      <c r="D851">
        <v>21</v>
      </c>
      <c r="E851" s="1">
        <v>53628.13</v>
      </c>
      <c r="F851" s="1">
        <v>146985.91999999899</v>
      </c>
    </row>
    <row r="852" spans="1:6" x14ac:dyDescent="0.35">
      <c r="A852">
        <v>200884</v>
      </c>
      <c r="B852">
        <v>26</v>
      </c>
      <c r="C852" s="1">
        <v>73004.73</v>
      </c>
      <c r="D852">
        <v>31</v>
      </c>
      <c r="E852" s="1">
        <v>73932.05</v>
      </c>
      <c r="F852" s="1">
        <v>146936.78</v>
      </c>
    </row>
    <row r="853" spans="1:6" x14ac:dyDescent="0.35">
      <c r="A853">
        <v>200100</v>
      </c>
      <c r="B853">
        <v>31</v>
      </c>
      <c r="C853" s="1">
        <v>75193.429999999993</v>
      </c>
      <c r="D853">
        <v>25</v>
      </c>
      <c r="E853" s="1">
        <v>71697.279999999999</v>
      </c>
      <c r="F853" s="1">
        <v>146890.71</v>
      </c>
    </row>
    <row r="854" spans="1:6" x14ac:dyDescent="0.35">
      <c r="A854">
        <v>200745</v>
      </c>
      <c r="B854">
        <v>32</v>
      </c>
      <c r="C854" s="1">
        <v>72043.149999999994</v>
      </c>
      <c r="D854">
        <v>33</v>
      </c>
      <c r="E854" s="1">
        <v>74767.649999999994</v>
      </c>
      <c r="F854" s="1">
        <v>146810.79999999999</v>
      </c>
    </row>
    <row r="855" spans="1:6" x14ac:dyDescent="0.35">
      <c r="A855">
        <v>201175</v>
      </c>
      <c r="B855">
        <v>28</v>
      </c>
      <c r="C855" s="1">
        <v>61565.38</v>
      </c>
      <c r="D855">
        <v>32</v>
      </c>
      <c r="E855" s="1">
        <v>85219.05</v>
      </c>
      <c r="F855" s="1">
        <v>146784.43</v>
      </c>
    </row>
    <row r="856" spans="1:6" x14ac:dyDescent="0.35">
      <c r="A856">
        <v>200247</v>
      </c>
      <c r="B856">
        <v>31</v>
      </c>
      <c r="C856" s="1">
        <v>75907.960000000006</v>
      </c>
      <c r="D856">
        <v>28</v>
      </c>
      <c r="E856" s="1">
        <v>70802.09</v>
      </c>
      <c r="F856" s="1">
        <v>146710.04999999999</v>
      </c>
    </row>
    <row r="857" spans="1:6" x14ac:dyDescent="0.35">
      <c r="A857">
        <v>201288</v>
      </c>
      <c r="B857">
        <v>29</v>
      </c>
      <c r="C857" s="1">
        <v>63253.99</v>
      </c>
      <c r="D857">
        <v>31</v>
      </c>
      <c r="E857" s="1">
        <v>83427.429999999993</v>
      </c>
      <c r="F857" s="1">
        <v>146681.41999999899</v>
      </c>
    </row>
    <row r="858" spans="1:6" x14ac:dyDescent="0.35">
      <c r="A858">
        <v>200084</v>
      </c>
      <c r="B858">
        <v>26</v>
      </c>
      <c r="C858" s="1">
        <v>69756.66</v>
      </c>
      <c r="D858">
        <v>31</v>
      </c>
      <c r="E858" s="1">
        <v>76922.7</v>
      </c>
      <c r="F858" s="1">
        <v>146679.35999999999</v>
      </c>
    </row>
    <row r="859" spans="1:6" x14ac:dyDescent="0.35">
      <c r="A859">
        <v>201431</v>
      </c>
      <c r="B859">
        <v>34</v>
      </c>
      <c r="C859" s="1">
        <v>81758.36</v>
      </c>
      <c r="D859">
        <v>29</v>
      </c>
      <c r="E859" s="1">
        <v>64907.22</v>
      </c>
      <c r="F859" s="1">
        <v>146665.57999999999</v>
      </c>
    </row>
    <row r="860" spans="1:6" x14ac:dyDescent="0.35">
      <c r="A860">
        <v>201446</v>
      </c>
      <c r="B860">
        <v>28</v>
      </c>
      <c r="C860" s="1">
        <v>76372.899999999994</v>
      </c>
      <c r="D860">
        <v>26</v>
      </c>
      <c r="E860" s="1">
        <v>70268.850000000006</v>
      </c>
      <c r="F860" s="1">
        <v>146641.75</v>
      </c>
    </row>
    <row r="861" spans="1:6" x14ac:dyDescent="0.35">
      <c r="A861">
        <v>201441</v>
      </c>
      <c r="B861">
        <v>23</v>
      </c>
      <c r="C861" s="1">
        <v>63439.44</v>
      </c>
      <c r="D861">
        <v>29</v>
      </c>
      <c r="E861" s="1">
        <v>83157.399999999994</v>
      </c>
      <c r="F861" s="1">
        <v>146596.84</v>
      </c>
    </row>
    <row r="862" spans="1:6" x14ac:dyDescent="0.35">
      <c r="A862">
        <v>201196</v>
      </c>
      <c r="B862">
        <v>34</v>
      </c>
      <c r="C862" s="1">
        <v>83308.509999999995</v>
      </c>
      <c r="D862">
        <v>30</v>
      </c>
      <c r="E862" s="1">
        <v>63271.98</v>
      </c>
      <c r="F862" s="1">
        <v>146580.49</v>
      </c>
    </row>
    <row r="863" spans="1:6" x14ac:dyDescent="0.35">
      <c r="A863">
        <v>201564</v>
      </c>
      <c r="B863">
        <v>32</v>
      </c>
      <c r="C863" s="1">
        <v>70834.3</v>
      </c>
      <c r="D863">
        <v>34</v>
      </c>
      <c r="E863" s="1">
        <v>75740.03</v>
      </c>
      <c r="F863" s="1">
        <v>146574.32999999999</v>
      </c>
    </row>
    <row r="864" spans="1:6" x14ac:dyDescent="0.35">
      <c r="A864">
        <v>200662</v>
      </c>
      <c r="B864">
        <v>31</v>
      </c>
      <c r="C864" s="1">
        <v>77456.850000000006</v>
      </c>
      <c r="D864">
        <v>28</v>
      </c>
      <c r="E864" s="1">
        <v>69105.84</v>
      </c>
      <c r="F864" s="1">
        <v>146562.69</v>
      </c>
    </row>
    <row r="865" spans="1:6" x14ac:dyDescent="0.35">
      <c r="A865">
        <v>201500</v>
      </c>
      <c r="B865">
        <v>31</v>
      </c>
      <c r="C865" s="1">
        <v>79481.41</v>
      </c>
      <c r="D865">
        <v>29</v>
      </c>
      <c r="E865" s="1">
        <v>67071.649999999994</v>
      </c>
      <c r="F865" s="1">
        <v>146553.06</v>
      </c>
    </row>
    <row r="866" spans="1:6" x14ac:dyDescent="0.35">
      <c r="A866">
        <v>200704</v>
      </c>
      <c r="B866">
        <v>32</v>
      </c>
      <c r="C866" s="1">
        <v>77882.649999999994</v>
      </c>
      <c r="D866">
        <v>25</v>
      </c>
      <c r="E866" s="1">
        <v>68639.89</v>
      </c>
      <c r="F866" s="1">
        <v>146522.53999999899</v>
      </c>
    </row>
    <row r="867" spans="1:6" x14ac:dyDescent="0.35">
      <c r="A867">
        <v>201517</v>
      </c>
      <c r="B867">
        <v>39</v>
      </c>
      <c r="C867" s="1">
        <v>87862.29</v>
      </c>
      <c r="D867">
        <v>25</v>
      </c>
      <c r="E867" s="1">
        <v>58637.919999999998</v>
      </c>
      <c r="F867" s="1">
        <v>146500.21</v>
      </c>
    </row>
    <row r="868" spans="1:6" x14ac:dyDescent="0.35">
      <c r="A868">
        <v>201379</v>
      </c>
      <c r="B868">
        <v>34</v>
      </c>
      <c r="C868" s="1">
        <v>74895.95</v>
      </c>
      <c r="D868">
        <v>26</v>
      </c>
      <c r="E868" s="1">
        <v>71574.080000000002</v>
      </c>
      <c r="F868" s="1">
        <v>146470.03</v>
      </c>
    </row>
    <row r="869" spans="1:6" x14ac:dyDescent="0.35">
      <c r="A869">
        <v>200862</v>
      </c>
      <c r="B869">
        <v>35</v>
      </c>
      <c r="C869" s="1">
        <v>77205.83</v>
      </c>
      <c r="D869">
        <v>31</v>
      </c>
      <c r="E869" s="1">
        <v>69252.679999999993</v>
      </c>
      <c r="F869" s="1">
        <v>146458.51</v>
      </c>
    </row>
    <row r="870" spans="1:6" x14ac:dyDescent="0.35">
      <c r="A870">
        <v>200644</v>
      </c>
      <c r="B870">
        <v>21</v>
      </c>
      <c r="C870" s="1">
        <v>57424.24</v>
      </c>
      <c r="D870">
        <v>37</v>
      </c>
      <c r="E870" s="1">
        <v>89013.1</v>
      </c>
      <c r="F870" s="1">
        <v>146437.34</v>
      </c>
    </row>
    <row r="871" spans="1:6" x14ac:dyDescent="0.35">
      <c r="A871">
        <v>201054</v>
      </c>
      <c r="B871">
        <v>33</v>
      </c>
      <c r="C871" s="1">
        <v>75695.490000000005</v>
      </c>
      <c r="D871">
        <v>27</v>
      </c>
      <c r="E871" s="1">
        <v>70680.58</v>
      </c>
      <c r="F871" s="1">
        <v>146376.07</v>
      </c>
    </row>
    <row r="872" spans="1:6" x14ac:dyDescent="0.35">
      <c r="A872">
        <v>201637</v>
      </c>
      <c r="B872">
        <v>36</v>
      </c>
      <c r="C872" s="1">
        <v>84703.99</v>
      </c>
      <c r="D872">
        <v>27</v>
      </c>
      <c r="E872" s="1">
        <v>61619.81</v>
      </c>
      <c r="F872" s="1">
        <v>146323.79999999999</v>
      </c>
    </row>
    <row r="873" spans="1:6" x14ac:dyDescent="0.35">
      <c r="A873">
        <v>201052</v>
      </c>
      <c r="B873">
        <v>31</v>
      </c>
      <c r="C873" s="1">
        <v>60497.34</v>
      </c>
      <c r="D873">
        <v>40</v>
      </c>
      <c r="E873" s="1">
        <v>85751.93</v>
      </c>
      <c r="F873" s="1">
        <v>146249.26999999999</v>
      </c>
    </row>
    <row r="874" spans="1:6" x14ac:dyDescent="0.35">
      <c r="A874">
        <v>201315</v>
      </c>
      <c r="B874">
        <v>32</v>
      </c>
      <c r="C874" s="1">
        <v>78664.7</v>
      </c>
      <c r="D874">
        <v>21</v>
      </c>
      <c r="E874" s="1">
        <v>67581.960000000006</v>
      </c>
      <c r="F874" s="1">
        <v>146246.66</v>
      </c>
    </row>
    <row r="875" spans="1:6" x14ac:dyDescent="0.35">
      <c r="A875">
        <v>201225</v>
      </c>
      <c r="B875">
        <v>29</v>
      </c>
      <c r="C875" s="1">
        <v>71101</v>
      </c>
      <c r="D875">
        <v>28</v>
      </c>
      <c r="E875" s="1">
        <v>75144.7</v>
      </c>
      <c r="F875" s="1">
        <v>146245.70000000001</v>
      </c>
    </row>
    <row r="876" spans="1:6" x14ac:dyDescent="0.35">
      <c r="A876">
        <v>201461</v>
      </c>
      <c r="B876">
        <v>31</v>
      </c>
      <c r="C876" s="1">
        <v>79303.11</v>
      </c>
      <c r="D876">
        <v>31</v>
      </c>
      <c r="E876" s="1">
        <v>66926.149999999994</v>
      </c>
      <c r="F876" s="1">
        <v>146229.26</v>
      </c>
    </row>
    <row r="877" spans="1:6" x14ac:dyDescent="0.35">
      <c r="A877">
        <v>200761</v>
      </c>
      <c r="B877">
        <v>28</v>
      </c>
      <c r="C877" s="1">
        <v>68248.2</v>
      </c>
      <c r="D877">
        <v>29</v>
      </c>
      <c r="E877" s="1">
        <v>77963.7</v>
      </c>
      <c r="F877" s="1">
        <v>146211.9</v>
      </c>
    </row>
    <row r="878" spans="1:6" x14ac:dyDescent="0.35">
      <c r="A878">
        <v>200434</v>
      </c>
      <c r="B878">
        <v>31</v>
      </c>
      <c r="C878" s="1">
        <v>78652.570000000007</v>
      </c>
      <c r="D878">
        <v>34</v>
      </c>
      <c r="E878" s="1">
        <v>67500.28</v>
      </c>
      <c r="F878" s="1">
        <v>146152.85</v>
      </c>
    </row>
    <row r="879" spans="1:6" x14ac:dyDescent="0.35">
      <c r="A879">
        <v>200916</v>
      </c>
      <c r="B879">
        <v>29</v>
      </c>
      <c r="C879" s="1">
        <v>68479.199999999997</v>
      </c>
      <c r="D879">
        <v>30</v>
      </c>
      <c r="E879" s="1">
        <v>77647.22</v>
      </c>
      <c r="F879" s="1">
        <v>146126.41999999899</v>
      </c>
    </row>
    <row r="880" spans="1:6" x14ac:dyDescent="0.35">
      <c r="A880">
        <v>201143</v>
      </c>
      <c r="B880">
        <v>21</v>
      </c>
      <c r="C880" s="1">
        <v>67068.759999999995</v>
      </c>
      <c r="D880">
        <v>39</v>
      </c>
      <c r="E880" s="1">
        <v>79004.539999999994</v>
      </c>
      <c r="F880" s="1">
        <v>146073.29999999999</v>
      </c>
    </row>
    <row r="881" spans="1:6" x14ac:dyDescent="0.35">
      <c r="A881">
        <v>201114</v>
      </c>
      <c r="B881">
        <v>25</v>
      </c>
      <c r="C881" s="1">
        <v>60207.519999999997</v>
      </c>
      <c r="D881">
        <v>32</v>
      </c>
      <c r="E881" s="1">
        <v>85834.86</v>
      </c>
      <c r="F881" s="1">
        <v>146042.38</v>
      </c>
    </row>
    <row r="882" spans="1:6" x14ac:dyDescent="0.35">
      <c r="A882">
        <v>201433</v>
      </c>
      <c r="B882">
        <v>27</v>
      </c>
      <c r="C882" s="1">
        <v>66743.91</v>
      </c>
      <c r="D882">
        <v>31</v>
      </c>
      <c r="E882" s="1">
        <v>79287.63</v>
      </c>
      <c r="F882" s="1">
        <v>146031.54</v>
      </c>
    </row>
    <row r="883" spans="1:6" x14ac:dyDescent="0.35">
      <c r="A883">
        <v>200640</v>
      </c>
      <c r="B883">
        <v>37</v>
      </c>
      <c r="C883" s="1">
        <v>82208.570000000007</v>
      </c>
      <c r="D883">
        <v>26</v>
      </c>
      <c r="E883" s="1">
        <v>63772.95</v>
      </c>
      <c r="F883" s="1">
        <v>145981.51999999999</v>
      </c>
    </row>
    <row r="884" spans="1:6" x14ac:dyDescent="0.35">
      <c r="A884">
        <v>200760</v>
      </c>
      <c r="B884">
        <v>32</v>
      </c>
      <c r="C884" s="1">
        <v>88462.82</v>
      </c>
      <c r="D884">
        <v>26</v>
      </c>
      <c r="E884" s="1">
        <v>57445.96</v>
      </c>
      <c r="F884" s="1">
        <v>145908.78</v>
      </c>
    </row>
    <row r="885" spans="1:6" x14ac:dyDescent="0.35">
      <c r="A885">
        <v>201023</v>
      </c>
      <c r="B885">
        <v>41</v>
      </c>
      <c r="C885" s="1">
        <v>86012.87</v>
      </c>
      <c r="D885">
        <v>26</v>
      </c>
      <c r="E885" s="1">
        <v>59891.31</v>
      </c>
      <c r="F885" s="1">
        <v>145904.18</v>
      </c>
    </row>
    <row r="886" spans="1:6" x14ac:dyDescent="0.35">
      <c r="A886">
        <v>201337</v>
      </c>
      <c r="B886">
        <v>31</v>
      </c>
      <c r="C886" s="1">
        <v>73463.789999999994</v>
      </c>
      <c r="D886">
        <v>30</v>
      </c>
      <c r="E886" s="1">
        <v>72425.05</v>
      </c>
      <c r="F886" s="1">
        <v>145888.84</v>
      </c>
    </row>
    <row r="887" spans="1:6" x14ac:dyDescent="0.35">
      <c r="A887">
        <v>201438</v>
      </c>
      <c r="B887">
        <v>31</v>
      </c>
      <c r="C887" s="1">
        <v>72294.69</v>
      </c>
      <c r="D887">
        <v>33</v>
      </c>
      <c r="E887" s="1">
        <v>73553.16</v>
      </c>
      <c r="F887" s="1">
        <v>145847.85</v>
      </c>
    </row>
    <row r="888" spans="1:6" x14ac:dyDescent="0.35">
      <c r="A888">
        <v>201184</v>
      </c>
      <c r="B888">
        <v>22</v>
      </c>
      <c r="C888" s="1">
        <v>50471.67</v>
      </c>
      <c r="D888">
        <v>37</v>
      </c>
      <c r="E888" s="1">
        <v>95350.75</v>
      </c>
      <c r="F888" s="1">
        <v>145822.41999999899</v>
      </c>
    </row>
    <row r="889" spans="1:6" x14ac:dyDescent="0.35">
      <c r="A889">
        <v>201619</v>
      </c>
      <c r="B889">
        <v>33</v>
      </c>
      <c r="C889" s="1">
        <v>74887.850000000006</v>
      </c>
      <c r="D889">
        <v>26</v>
      </c>
      <c r="E889" s="1">
        <v>70914.23</v>
      </c>
      <c r="F889" s="1">
        <v>145802.07999999999</v>
      </c>
    </row>
    <row r="890" spans="1:6" x14ac:dyDescent="0.35">
      <c r="A890">
        <v>200226</v>
      </c>
      <c r="B890">
        <v>29</v>
      </c>
      <c r="C890" s="1">
        <v>60384.42</v>
      </c>
      <c r="D890">
        <v>35</v>
      </c>
      <c r="E890" s="1">
        <v>85409.79</v>
      </c>
      <c r="F890" s="1">
        <v>145794.21</v>
      </c>
    </row>
    <row r="891" spans="1:6" x14ac:dyDescent="0.35">
      <c r="A891">
        <v>200673</v>
      </c>
      <c r="B891">
        <v>33</v>
      </c>
      <c r="C891" s="1">
        <v>90636.97</v>
      </c>
      <c r="D891">
        <v>24</v>
      </c>
      <c r="E891" s="1">
        <v>55092.62</v>
      </c>
      <c r="F891" s="1">
        <v>145729.59</v>
      </c>
    </row>
    <row r="892" spans="1:6" x14ac:dyDescent="0.35">
      <c r="A892">
        <v>201208</v>
      </c>
      <c r="B892">
        <v>31</v>
      </c>
      <c r="C892" s="1">
        <v>90197.34</v>
      </c>
      <c r="D892">
        <v>22</v>
      </c>
      <c r="E892" s="1">
        <v>55519.29</v>
      </c>
      <c r="F892" s="1">
        <v>145716.63</v>
      </c>
    </row>
    <row r="893" spans="1:6" x14ac:dyDescent="0.35">
      <c r="A893">
        <v>201104</v>
      </c>
      <c r="B893">
        <v>28</v>
      </c>
      <c r="C893" s="1">
        <v>60193.36</v>
      </c>
      <c r="D893">
        <v>36</v>
      </c>
      <c r="E893" s="1">
        <v>85415.22</v>
      </c>
      <c r="F893" s="1">
        <v>145608.57999999999</v>
      </c>
    </row>
    <row r="894" spans="1:6" x14ac:dyDescent="0.35">
      <c r="A894">
        <v>201454</v>
      </c>
      <c r="B894">
        <v>33</v>
      </c>
      <c r="C894" s="1">
        <v>89569.67</v>
      </c>
      <c r="D894">
        <v>24</v>
      </c>
      <c r="E894" s="1">
        <v>56029.47</v>
      </c>
      <c r="F894" s="1">
        <v>145599.14000000001</v>
      </c>
    </row>
    <row r="895" spans="1:6" x14ac:dyDescent="0.35">
      <c r="A895">
        <v>201028</v>
      </c>
      <c r="B895">
        <v>30</v>
      </c>
      <c r="C895" s="1">
        <v>70738.289999999994</v>
      </c>
      <c r="D895">
        <v>32</v>
      </c>
      <c r="E895" s="1">
        <v>74679.98</v>
      </c>
      <c r="F895" s="1">
        <v>145418.26999999999</v>
      </c>
    </row>
    <row r="896" spans="1:6" x14ac:dyDescent="0.35">
      <c r="A896">
        <v>200738</v>
      </c>
      <c r="B896">
        <v>33</v>
      </c>
      <c r="C896" s="1">
        <v>91991.38</v>
      </c>
      <c r="D896">
        <v>22</v>
      </c>
      <c r="E896" s="1">
        <v>53393.82</v>
      </c>
      <c r="F896" s="1">
        <v>145385.20000000001</v>
      </c>
    </row>
    <row r="897" spans="1:6" x14ac:dyDescent="0.35">
      <c r="A897">
        <v>200527</v>
      </c>
      <c r="B897">
        <v>32</v>
      </c>
      <c r="C897" s="1">
        <v>70520.55</v>
      </c>
      <c r="D897">
        <v>30</v>
      </c>
      <c r="E897" s="1">
        <v>74777.87</v>
      </c>
      <c r="F897" s="1">
        <v>145298.41999999899</v>
      </c>
    </row>
    <row r="898" spans="1:6" x14ac:dyDescent="0.35">
      <c r="A898">
        <v>200911</v>
      </c>
      <c r="B898">
        <v>22</v>
      </c>
      <c r="C898" s="1">
        <v>48480.25</v>
      </c>
      <c r="D898">
        <v>36</v>
      </c>
      <c r="E898" s="1">
        <v>96813.01</v>
      </c>
      <c r="F898" s="1">
        <v>145293.26</v>
      </c>
    </row>
    <row r="899" spans="1:6" x14ac:dyDescent="0.35">
      <c r="A899">
        <v>201376</v>
      </c>
      <c r="B899">
        <v>32</v>
      </c>
      <c r="C899" s="1">
        <v>87952.63</v>
      </c>
      <c r="D899">
        <v>26</v>
      </c>
      <c r="E899" s="1">
        <v>57320.18</v>
      </c>
      <c r="F899" s="1">
        <v>145272.81</v>
      </c>
    </row>
    <row r="900" spans="1:6" x14ac:dyDescent="0.35">
      <c r="A900">
        <v>201527</v>
      </c>
      <c r="B900">
        <v>31</v>
      </c>
      <c r="C900" s="1">
        <v>85688.49</v>
      </c>
      <c r="D900">
        <v>22</v>
      </c>
      <c r="E900" s="1">
        <v>59580.66</v>
      </c>
      <c r="F900" s="1">
        <v>145269.15</v>
      </c>
    </row>
    <row r="901" spans="1:6" x14ac:dyDescent="0.35">
      <c r="A901">
        <v>200969</v>
      </c>
      <c r="B901">
        <v>27</v>
      </c>
      <c r="C901" s="1">
        <v>76040.14</v>
      </c>
      <c r="D901">
        <v>27</v>
      </c>
      <c r="E901" s="1">
        <v>69214.649999999994</v>
      </c>
      <c r="F901" s="1">
        <v>145254.78999999899</v>
      </c>
    </row>
    <row r="902" spans="1:6" x14ac:dyDescent="0.35">
      <c r="A902">
        <v>201402</v>
      </c>
      <c r="B902">
        <v>33</v>
      </c>
      <c r="C902" s="1">
        <v>74614.75</v>
      </c>
      <c r="D902">
        <v>26</v>
      </c>
      <c r="E902" s="1">
        <v>70570.78</v>
      </c>
      <c r="F902" s="1">
        <v>145185.53</v>
      </c>
    </row>
    <row r="903" spans="1:6" x14ac:dyDescent="0.35">
      <c r="A903">
        <v>200157</v>
      </c>
      <c r="B903">
        <v>26</v>
      </c>
      <c r="C903" s="1">
        <v>75941.740000000005</v>
      </c>
      <c r="D903">
        <v>28</v>
      </c>
      <c r="E903" s="1">
        <v>69209.17</v>
      </c>
      <c r="F903" s="1">
        <v>145150.91</v>
      </c>
    </row>
    <row r="904" spans="1:6" x14ac:dyDescent="0.35">
      <c r="A904">
        <v>201459</v>
      </c>
      <c r="B904">
        <v>26</v>
      </c>
      <c r="C904" s="1">
        <v>59515.29</v>
      </c>
      <c r="D904">
        <v>31</v>
      </c>
      <c r="E904" s="1">
        <v>85610.37</v>
      </c>
      <c r="F904" s="1">
        <v>145125.66</v>
      </c>
    </row>
    <row r="905" spans="1:6" x14ac:dyDescent="0.35">
      <c r="A905">
        <v>200810</v>
      </c>
      <c r="B905">
        <v>33</v>
      </c>
      <c r="C905" s="1">
        <v>75031.789999999994</v>
      </c>
      <c r="D905">
        <v>30</v>
      </c>
      <c r="E905" s="1">
        <v>70032.94</v>
      </c>
      <c r="F905" s="1">
        <v>145064.72999999899</v>
      </c>
    </row>
    <row r="906" spans="1:6" x14ac:dyDescent="0.35">
      <c r="A906">
        <v>201601</v>
      </c>
      <c r="B906">
        <v>28</v>
      </c>
      <c r="C906" s="1">
        <v>59763.77</v>
      </c>
      <c r="D906">
        <v>40</v>
      </c>
      <c r="E906" s="1">
        <v>85295.51</v>
      </c>
      <c r="F906" s="1">
        <v>145059.28</v>
      </c>
    </row>
    <row r="907" spans="1:6" x14ac:dyDescent="0.35">
      <c r="A907">
        <v>200922</v>
      </c>
      <c r="B907">
        <v>23</v>
      </c>
      <c r="C907" s="1">
        <v>63139.59</v>
      </c>
      <c r="D907">
        <v>30</v>
      </c>
      <c r="E907" s="1">
        <v>81901.75</v>
      </c>
      <c r="F907" s="1">
        <v>145041.34</v>
      </c>
    </row>
    <row r="908" spans="1:6" x14ac:dyDescent="0.35">
      <c r="A908">
        <v>200547</v>
      </c>
      <c r="B908">
        <v>30</v>
      </c>
      <c r="C908" s="1">
        <v>74549.429999999993</v>
      </c>
      <c r="D908">
        <v>28</v>
      </c>
      <c r="E908" s="1">
        <v>70463.02</v>
      </c>
      <c r="F908" s="1">
        <v>145012.45000000001</v>
      </c>
    </row>
    <row r="909" spans="1:6" x14ac:dyDescent="0.35">
      <c r="A909">
        <v>201449</v>
      </c>
      <c r="B909">
        <v>31</v>
      </c>
      <c r="C909" s="1">
        <v>72884.75</v>
      </c>
      <c r="D909">
        <v>28</v>
      </c>
      <c r="E909" s="1">
        <v>72122.13</v>
      </c>
      <c r="F909" s="1">
        <v>145006.88</v>
      </c>
    </row>
    <row r="910" spans="1:6" x14ac:dyDescent="0.35">
      <c r="A910">
        <v>200690</v>
      </c>
      <c r="B910">
        <v>34</v>
      </c>
      <c r="C910" s="1">
        <v>67253.119999999995</v>
      </c>
      <c r="D910">
        <v>29</v>
      </c>
      <c r="E910" s="1">
        <v>77747.78</v>
      </c>
      <c r="F910" s="1">
        <v>145000.9</v>
      </c>
    </row>
    <row r="911" spans="1:6" x14ac:dyDescent="0.35">
      <c r="A911">
        <v>201335</v>
      </c>
      <c r="B911">
        <v>28</v>
      </c>
      <c r="C911" s="1">
        <v>72400.800000000003</v>
      </c>
      <c r="D911">
        <v>31</v>
      </c>
      <c r="E911" s="1">
        <v>72563.78</v>
      </c>
      <c r="F911" s="1">
        <v>144964.57999999999</v>
      </c>
    </row>
    <row r="912" spans="1:6" x14ac:dyDescent="0.35">
      <c r="A912">
        <v>200822</v>
      </c>
      <c r="B912">
        <v>26</v>
      </c>
      <c r="C912" s="1">
        <v>67045.14</v>
      </c>
      <c r="D912">
        <v>32</v>
      </c>
      <c r="E912" s="1">
        <v>77890.7</v>
      </c>
      <c r="F912" s="1">
        <v>144935.84</v>
      </c>
    </row>
    <row r="913" spans="1:6" x14ac:dyDescent="0.35">
      <c r="A913">
        <v>200929</v>
      </c>
      <c r="B913">
        <v>28</v>
      </c>
      <c r="C913" s="1">
        <v>58344.51</v>
      </c>
      <c r="D913">
        <v>34</v>
      </c>
      <c r="E913" s="1">
        <v>86576.84</v>
      </c>
      <c r="F913" s="1">
        <v>144921.35</v>
      </c>
    </row>
    <row r="914" spans="1:6" x14ac:dyDescent="0.35">
      <c r="A914">
        <v>200894</v>
      </c>
      <c r="B914">
        <v>32</v>
      </c>
      <c r="C914" s="1">
        <v>66782.17</v>
      </c>
      <c r="D914">
        <v>32</v>
      </c>
      <c r="E914" s="1">
        <v>78117.91</v>
      </c>
      <c r="F914" s="1">
        <v>144900.07999999999</v>
      </c>
    </row>
    <row r="915" spans="1:6" x14ac:dyDescent="0.35">
      <c r="A915">
        <v>200630</v>
      </c>
      <c r="B915">
        <v>25</v>
      </c>
      <c r="C915" s="1">
        <v>67394.710000000006</v>
      </c>
      <c r="D915">
        <v>35</v>
      </c>
      <c r="E915" s="1">
        <v>77484.31</v>
      </c>
      <c r="F915" s="1">
        <v>144879.01999999999</v>
      </c>
    </row>
    <row r="916" spans="1:6" x14ac:dyDescent="0.35">
      <c r="A916">
        <v>201087</v>
      </c>
      <c r="B916">
        <v>28</v>
      </c>
      <c r="C916" s="1">
        <v>84494.37</v>
      </c>
      <c r="D916">
        <v>29</v>
      </c>
      <c r="E916" s="1">
        <v>60382.52</v>
      </c>
      <c r="F916" s="1">
        <v>144876.889999999</v>
      </c>
    </row>
    <row r="917" spans="1:6" x14ac:dyDescent="0.35">
      <c r="A917">
        <v>201111</v>
      </c>
      <c r="B917">
        <v>23</v>
      </c>
      <c r="C917" s="1">
        <v>54566.239999999998</v>
      </c>
      <c r="D917">
        <v>33</v>
      </c>
      <c r="E917" s="1">
        <v>90278.73</v>
      </c>
      <c r="F917" s="1">
        <v>144844.97</v>
      </c>
    </row>
    <row r="918" spans="1:6" x14ac:dyDescent="0.35">
      <c r="A918">
        <v>201007</v>
      </c>
      <c r="B918">
        <v>36</v>
      </c>
      <c r="C918" s="1">
        <v>89885.83</v>
      </c>
      <c r="D918">
        <v>23</v>
      </c>
      <c r="E918" s="1">
        <v>54947.21</v>
      </c>
      <c r="F918" s="1">
        <v>144833.04</v>
      </c>
    </row>
    <row r="919" spans="1:6" x14ac:dyDescent="0.35">
      <c r="A919">
        <v>201294</v>
      </c>
      <c r="B919">
        <v>32</v>
      </c>
      <c r="C919" s="1">
        <v>78392.320000000007</v>
      </c>
      <c r="D919">
        <v>29</v>
      </c>
      <c r="E919" s="1">
        <v>66410.649999999994</v>
      </c>
      <c r="F919" s="1">
        <v>144802.97</v>
      </c>
    </row>
    <row r="920" spans="1:6" x14ac:dyDescent="0.35">
      <c r="A920">
        <v>201417</v>
      </c>
      <c r="B920">
        <v>23</v>
      </c>
      <c r="C920" s="1">
        <v>58843.199999999997</v>
      </c>
      <c r="D920">
        <v>31</v>
      </c>
      <c r="E920" s="1">
        <v>85874.86</v>
      </c>
      <c r="F920" s="1">
        <v>144718.06</v>
      </c>
    </row>
    <row r="921" spans="1:6" x14ac:dyDescent="0.35">
      <c r="A921">
        <v>201031</v>
      </c>
      <c r="B921">
        <v>22</v>
      </c>
      <c r="C921" s="1">
        <v>51488.7</v>
      </c>
      <c r="D921">
        <v>35</v>
      </c>
      <c r="E921" s="1">
        <v>93217.62</v>
      </c>
      <c r="F921" s="1">
        <v>144706.32</v>
      </c>
    </row>
    <row r="922" spans="1:6" x14ac:dyDescent="0.35">
      <c r="A922">
        <v>200616</v>
      </c>
      <c r="B922">
        <v>39</v>
      </c>
      <c r="C922" s="1">
        <v>87035.3</v>
      </c>
      <c r="D922">
        <v>22</v>
      </c>
      <c r="E922" s="1">
        <v>57607.65</v>
      </c>
      <c r="F922" s="1">
        <v>144642.95000000001</v>
      </c>
    </row>
    <row r="923" spans="1:6" x14ac:dyDescent="0.35">
      <c r="A923">
        <v>201447</v>
      </c>
      <c r="B923">
        <v>35</v>
      </c>
      <c r="C923" s="1">
        <v>78406.28</v>
      </c>
      <c r="D923">
        <v>24</v>
      </c>
      <c r="E923" s="1">
        <v>66201.48</v>
      </c>
      <c r="F923" s="1">
        <v>144607.76</v>
      </c>
    </row>
    <row r="924" spans="1:6" x14ac:dyDescent="0.35">
      <c r="A924">
        <v>200163</v>
      </c>
      <c r="B924">
        <v>34</v>
      </c>
      <c r="C924" s="1">
        <v>72903.78</v>
      </c>
      <c r="D924">
        <v>35</v>
      </c>
      <c r="E924" s="1">
        <v>71646.350000000006</v>
      </c>
      <c r="F924" s="1">
        <v>144550.13</v>
      </c>
    </row>
    <row r="925" spans="1:6" x14ac:dyDescent="0.35">
      <c r="A925">
        <v>200733</v>
      </c>
      <c r="B925">
        <v>24</v>
      </c>
      <c r="C925" s="1">
        <v>61608.99</v>
      </c>
      <c r="D925">
        <v>35</v>
      </c>
      <c r="E925" s="1">
        <v>82893.070000000007</v>
      </c>
      <c r="F925" s="1">
        <v>144502.06</v>
      </c>
    </row>
    <row r="926" spans="1:6" x14ac:dyDescent="0.35">
      <c r="A926">
        <v>200578</v>
      </c>
      <c r="B926">
        <v>23</v>
      </c>
      <c r="C926" s="1">
        <v>65035.23</v>
      </c>
      <c r="D926">
        <v>34</v>
      </c>
      <c r="E926" s="1">
        <v>79446.06</v>
      </c>
      <c r="F926" s="1">
        <v>144481.29</v>
      </c>
    </row>
    <row r="927" spans="1:6" x14ac:dyDescent="0.35">
      <c r="A927">
        <v>200477</v>
      </c>
      <c r="B927">
        <v>23</v>
      </c>
      <c r="C927" s="1">
        <v>50755.45</v>
      </c>
      <c r="D927">
        <v>35</v>
      </c>
      <c r="E927" s="1">
        <v>93721.5</v>
      </c>
      <c r="F927" s="1">
        <v>144476.95000000001</v>
      </c>
    </row>
    <row r="928" spans="1:6" x14ac:dyDescent="0.35">
      <c r="A928">
        <v>201425</v>
      </c>
      <c r="B928">
        <v>30</v>
      </c>
      <c r="C928" s="1">
        <v>68022.97</v>
      </c>
      <c r="D928">
        <v>29</v>
      </c>
      <c r="E928" s="1">
        <v>76448.17</v>
      </c>
      <c r="F928" s="1">
        <v>144471.14000000001</v>
      </c>
    </row>
    <row r="929" spans="1:6" x14ac:dyDescent="0.35">
      <c r="A929">
        <v>201504</v>
      </c>
      <c r="B929">
        <v>28</v>
      </c>
      <c r="C929" s="1">
        <v>75840.23</v>
      </c>
      <c r="D929">
        <v>27</v>
      </c>
      <c r="E929" s="1">
        <v>68600.63</v>
      </c>
      <c r="F929" s="1">
        <v>144440.85999999999</v>
      </c>
    </row>
    <row r="930" spans="1:6" x14ac:dyDescent="0.35">
      <c r="A930">
        <v>201251</v>
      </c>
      <c r="B930">
        <v>41</v>
      </c>
      <c r="C930" s="1">
        <v>97490.240000000005</v>
      </c>
      <c r="D930">
        <v>22</v>
      </c>
      <c r="E930" s="1">
        <v>46944.41</v>
      </c>
      <c r="F930" s="1">
        <v>144434.65</v>
      </c>
    </row>
    <row r="931" spans="1:6" x14ac:dyDescent="0.35">
      <c r="A931">
        <v>200908</v>
      </c>
      <c r="B931">
        <v>32</v>
      </c>
      <c r="C931" s="1">
        <v>76608.649999999994</v>
      </c>
      <c r="D931">
        <v>27</v>
      </c>
      <c r="E931" s="1">
        <v>67825.59</v>
      </c>
      <c r="F931" s="1">
        <v>144434.23999999999</v>
      </c>
    </row>
    <row r="932" spans="1:6" x14ac:dyDescent="0.35">
      <c r="A932">
        <v>201580</v>
      </c>
      <c r="B932">
        <v>20</v>
      </c>
      <c r="C932" s="1">
        <v>54159.34</v>
      </c>
      <c r="D932">
        <v>30</v>
      </c>
      <c r="E932" s="1">
        <v>90244.97</v>
      </c>
      <c r="F932" s="1">
        <v>144404.31</v>
      </c>
    </row>
    <row r="933" spans="1:6" x14ac:dyDescent="0.35">
      <c r="A933">
        <v>201163</v>
      </c>
      <c r="B933">
        <v>26</v>
      </c>
      <c r="C933" s="1">
        <v>64475.48</v>
      </c>
      <c r="D933">
        <v>29</v>
      </c>
      <c r="E933" s="1">
        <v>79913.59</v>
      </c>
      <c r="F933" s="1">
        <v>144389.07</v>
      </c>
    </row>
    <row r="934" spans="1:6" x14ac:dyDescent="0.35">
      <c r="A934">
        <v>200153</v>
      </c>
      <c r="B934">
        <v>27</v>
      </c>
      <c r="C934" s="1">
        <v>78615.47</v>
      </c>
      <c r="D934">
        <v>25</v>
      </c>
      <c r="E934" s="1">
        <v>65764.820000000007</v>
      </c>
      <c r="F934" s="1">
        <v>144380.29</v>
      </c>
    </row>
    <row r="935" spans="1:6" x14ac:dyDescent="0.35">
      <c r="A935">
        <v>201269</v>
      </c>
      <c r="B935">
        <v>29</v>
      </c>
      <c r="C935" s="1">
        <v>78228.09</v>
      </c>
      <c r="D935">
        <v>33</v>
      </c>
      <c r="E935" s="1">
        <v>66150.960000000006</v>
      </c>
      <c r="F935" s="1">
        <v>144379.04999999999</v>
      </c>
    </row>
    <row r="936" spans="1:6" x14ac:dyDescent="0.35">
      <c r="A936">
        <v>200655</v>
      </c>
      <c r="B936">
        <v>37</v>
      </c>
      <c r="C936" s="1">
        <v>90879.07</v>
      </c>
      <c r="D936">
        <v>17</v>
      </c>
      <c r="E936" s="1">
        <v>53442.71</v>
      </c>
      <c r="F936" s="1">
        <v>144321.78</v>
      </c>
    </row>
    <row r="937" spans="1:6" x14ac:dyDescent="0.35">
      <c r="A937">
        <v>201245</v>
      </c>
      <c r="B937">
        <v>33</v>
      </c>
      <c r="C937" s="1">
        <v>84641.55</v>
      </c>
      <c r="D937">
        <v>24</v>
      </c>
      <c r="E937" s="1">
        <v>59675.88</v>
      </c>
      <c r="F937" s="1">
        <v>144317.43</v>
      </c>
    </row>
    <row r="938" spans="1:6" x14ac:dyDescent="0.35">
      <c r="A938">
        <v>200441</v>
      </c>
      <c r="B938">
        <v>42</v>
      </c>
      <c r="C938" s="1">
        <v>87047.39</v>
      </c>
      <c r="D938">
        <v>22</v>
      </c>
      <c r="E938" s="1">
        <v>57245.09</v>
      </c>
      <c r="F938" s="1">
        <v>144292.47999999899</v>
      </c>
    </row>
    <row r="939" spans="1:6" x14ac:dyDescent="0.35">
      <c r="A939">
        <v>200122</v>
      </c>
      <c r="B939">
        <v>30</v>
      </c>
      <c r="C939" s="1">
        <v>63640.78</v>
      </c>
      <c r="D939">
        <v>34</v>
      </c>
      <c r="E939" s="1">
        <v>80592.33</v>
      </c>
      <c r="F939" s="1">
        <v>144233.10999999999</v>
      </c>
    </row>
    <row r="940" spans="1:6" x14ac:dyDescent="0.35">
      <c r="A940">
        <v>200752</v>
      </c>
      <c r="B940">
        <v>30</v>
      </c>
      <c r="C940" s="1">
        <v>66489.509999999995</v>
      </c>
      <c r="D940">
        <v>30</v>
      </c>
      <c r="E940" s="1">
        <v>77725.58</v>
      </c>
      <c r="F940" s="1">
        <v>144215.09</v>
      </c>
    </row>
    <row r="941" spans="1:6" x14ac:dyDescent="0.35">
      <c r="A941">
        <v>200613</v>
      </c>
      <c r="B941">
        <v>34</v>
      </c>
      <c r="C941" s="1">
        <v>75358.16</v>
      </c>
      <c r="D941">
        <v>34</v>
      </c>
      <c r="E941" s="1">
        <v>68849.41</v>
      </c>
      <c r="F941" s="1">
        <v>144207.57</v>
      </c>
    </row>
    <row r="942" spans="1:6" x14ac:dyDescent="0.35">
      <c r="A942">
        <v>200967</v>
      </c>
      <c r="B942">
        <v>35</v>
      </c>
      <c r="C942" s="1">
        <v>72868.95</v>
      </c>
      <c r="D942">
        <v>29</v>
      </c>
      <c r="E942" s="1">
        <v>71269.27</v>
      </c>
      <c r="F942" s="1">
        <v>144138.22</v>
      </c>
    </row>
    <row r="943" spans="1:6" x14ac:dyDescent="0.35">
      <c r="A943">
        <v>200093</v>
      </c>
      <c r="B943">
        <v>36</v>
      </c>
      <c r="C943" s="1">
        <v>83249.84</v>
      </c>
      <c r="D943">
        <v>28</v>
      </c>
      <c r="E943" s="1">
        <v>60782.02</v>
      </c>
      <c r="F943" s="1">
        <v>144031.85999999999</v>
      </c>
    </row>
    <row r="944" spans="1:6" x14ac:dyDescent="0.35">
      <c r="A944">
        <v>201319</v>
      </c>
      <c r="B944">
        <v>29</v>
      </c>
      <c r="C944" s="1">
        <v>70783.039999999994</v>
      </c>
      <c r="D944">
        <v>27</v>
      </c>
      <c r="E944" s="1">
        <v>73215.48</v>
      </c>
      <c r="F944" s="1">
        <v>143998.51999999999</v>
      </c>
    </row>
    <row r="945" spans="1:6" x14ac:dyDescent="0.35">
      <c r="A945">
        <v>201100</v>
      </c>
      <c r="B945">
        <v>23</v>
      </c>
      <c r="C945" s="1">
        <v>62328.98</v>
      </c>
      <c r="D945">
        <v>32</v>
      </c>
      <c r="E945" s="1">
        <v>81637.48</v>
      </c>
      <c r="F945" s="1">
        <v>143966.46</v>
      </c>
    </row>
    <row r="946" spans="1:6" x14ac:dyDescent="0.35">
      <c r="A946">
        <v>201222</v>
      </c>
      <c r="B946">
        <v>29</v>
      </c>
      <c r="C946" s="1">
        <v>58352.62</v>
      </c>
      <c r="D946">
        <v>40</v>
      </c>
      <c r="E946" s="1">
        <v>85608.62</v>
      </c>
      <c r="F946" s="1">
        <v>143961.24</v>
      </c>
    </row>
    <row r="947" spans="1:6" x14ac:dyDescent="0.35">
      <c r="A947">
        <v>200031</v>
      </c>
      <c r="B947">
        <v>26</v>
      </c>
      <c r="C947" s="1">
        <v>65463.81</v>
      </c>
      <c r="D947">
        <v>31</v>
      </c>
      <c r="E947" s="1">
        <v>78449.509999999995</v>
      </c>
      <c r="F947" s="1">
        <v>143913.32</v>
      </c>
    </row>
    <row r="948" spans="1:6" x14ac:dyDescent="0.35">
      <c r="A948">
        <v>200044</v>
      </c>
      <c r="B948">
        <v>38</v>
      </c>
      <c r="C948" s="1">
        <v>87410.08</v>
      </c>
      <c r="D948">
        <v>25</v>
      </c>
      <c r="E948" s="1">
        <v>56490.8</v>
      </c>
      <c r="F948" s="1">
        <v>143900.88</v>
      </c>
    </row>
    <row r="949" spans="1:6" x14ac:dyDescent="0.35">
      <c r="A949">
        <v>200158</v>
      </c>
      <c r="B949">
        <v>27</v>
      </c>
      <c r="C949" s="1">
        <v>72159.55</v>
      </c>
      <c r="D949">
        <v>29</v>
      </c>
      <c r="E949" s="1">
        <v>71719.460000000006</v>
      </c>
      <c r="F949" s="1">
        <v>143879.01</v>
      </c>
    </row>
    <row r="950" spans="1:6" x14ac:dyDescent="0.35">
      <c r="A950">
        <v>201586</v>
      </c>
      <c r="B950">
        <v>27</v>
      </c>
      <c r="C950" s="1">
        <v>89642</v>
      </c>
      <c r="D950">
        <v>25</v>
      </c>
      <c r="E950" s="1">
        <v>54181.98</v>
      </c>
      <c r="F950" s="1">
        <v>143823.98000000001</v>
      </c>
    </row>
    <row r="951" spans="1:6" x14ac:dyDescent="0.35">
      <c r="A951">
        <v>200312</v>
      </c>
      <c r="B951">
        <v>36</v>
      </c>
      <c r="C951" s="1">
        <v>93998.91</v>
      </c>
      <c r="D951">
        <v>22</v>
      </c>
      <c r="E951" s="1">
        <v>49800.13</v>
      </c>
      <c r="F951" s="1">
        <v>143799.04000000001</v>
      </c>
    </row>
    <row r="952" spans="1:6" x14ac:dyDescent="0.35">
      <c r="A952">
        <v>200724</v>
      </c>
      <c r="B952">
        <v>31</v>
      </c>
      <c r="C952" s="1">
        <v>79568.05</v>
      </c>
      <c r="D952">
        <v>23</v>
      </c>
      <c r="E952" s="1">
        <v>64196.82</v>
      </c>
      <c r="F952" s="1">
        <v>143764.87</v>
      </c>
    </row>
    <row r="953" spans="1:6" x14ac:dyDescent="0.35">
      <c r="A953">
        <v>200890</v>
      </c>
      <c r="B953">
        <v>32</v>
      </c>
      <c r="C953" s="1">
        <v>76271.210000000006</v>
      </c>
      <c r="D953">
        <v>26</v>
      </c>
      <c r="E953" s="1">
        <v>67485.39</v>
      </c>
      <c r="F953" s="1">
        <v>143756.6</v>
      </c>
    </row>
    <row r="954" spans="1:6" x14ac:dyDescent="0.35">
      <c r="A954">
        <v>200512</v>
      </c>
      <c r="B954">
        <v>29</v>
      </c>
      <c r="C954" s="1">
        <v>70960.08</v>
      </c>
      <c r="D954">
        <v>31</v>
      </c>
      <c r="E954" s="1">
        <v>72788.41</v>
      </c>
      <c r="F954" s="1">
        <v>143748.49</v>
      </c>
    </row>
    <row r="955" spans="1:6" x14ac:dyDescent="0.35">
      <c r="A955">
        <v>201443</v>
      </c>
      <c r="B955">
        <v>27</v>
      </c>
      <c r="C955" s="1">
        <v>72464.75</v>
      </c>
      <c r="D955">
        <v>28</v>
      </c>
      <c r="E955" s="1">
        <v>71282.28</v>
      </c>
      <c r="F955" s="1">
        <v>143747.03</v>
      </c>
    </row>
    <row r="956" spans="1:6" x14ac:dyDescent="0.35">
      <c r="A956">
        <v>200897</v>
      </c>
      <c r="B956">
        <v>27</v>
      </c>
      <c r="C956" s="1">
        <v>66176.179999999993</v>
      </c>
      <c r="D956">
        <v>33</v>
      </c>
      <c r="E956" s="1">
        <v>77509.83</v>
      </c>
      <c r="F956" s="1">
        <v>143686.01</v>
      </c>
    </row>
    <row r="957" spans="1:6" x14ac:dyDescent="0.35">
      <c r="A957">
        <v>201539</v>
      </c>
      <c r="B957">
        <v>23</v>
      </c>
      <c r="C957" s="1">
        <v>62939.1</v>
      </c>
      <c r="D957">
        <v>31</v>
      </c>
      <c r="E957" s="1">
        <v>80735.740000000005</v>
      </c>
      <c r="F957" s="1">
        <v>143674.84</v>
      </c>
    </row>
    <row r="958" spans="1:6" x14ac:dyDescent="0.35">
      <c r="A958">
        <v>201436</v>
      </c>
      <c r="B958">
        <v>31</v>
      </c>
      <c r="C958" s="1">
        <v>72629.06</v>
      </c>
      <c r="D958">
        <v>30</v>
      </c>
      <c r="E958" s="1">
        <v>71044.61</v>
      </c>
      <c r="F958" s="1">
        <v>143673.66999999899</v>
      </c>
    </row>
    <row r="959" spans="1:6" x14ac:dyDescent="0.35">
      <c r="A959">
        <v>200070</v>
      </c>
      <c r="B959">
        <v>28</v>
      </c>
      <c r="C959" s="1">
        <v>66900.240000000005</v>
      </c>
      <c r="D959">
        <v>30</v>
      </c>
      <c r="E959" s="1">
        <v>76723.100000000006</v>
      </c>
      <c r="F959" s="1">
        <v>143623.34</v>
      </c>
    </row>
    <row r="960" spans="1:6" x14ac:dyDescent="0.35">
      <c r="A960">
        <v>201074</v>
      </c>
      <c r="B960">
        <v>32</v>
      </c>
      <c r="C960" s="1">
        <v>85952.12</v>
      </c>
      <c r="D960">
        <v>29</v>
      </c>
      <c r="E960" s="1">
        <v>57635.12</v>
      </c>
      <c r="F960" s="1">
        <v>143587.24</v>
      </c>
    </row>
    <row r="961" spans="1:6" x14ac:dyDescent="0.35">
      <c r="A961">
        <v>201099</v>
      </c>
      <c r="B961">
        <v>31</v>
      </c>
      <c r="C961" s="1">
        <v>76262.3</v>
      </c>
      <c r="D961">
        <v>27</v>
      </c>
      <c r="E961" s="1">
        <v>67319.490000000005</v>
      </c>
      <c r="F961" s="1">
        <v>143581.79</v>
      </c>
    </row>
    <row r="962" spans="1:6" x14ac:dyDescent="0.35">
      <c r="A962">
        <v>200236</v>
      </c>
      <c r="B962">
        <v>29</v>
      </c>
      <c r="C962" s="1">
        <v>72615</v>
      </c>
      <c r="D962">
        <v>29</v>
      </c>
      <c r="E962" s="1">
        <v>70949.679999999993</v>
      </c>
      <c r="F962" s="1">
        <v>143564.68</v>
      </c>
    </row>
    <row r="963" spans="1:6" x14ac:dyDescent="0.35">
      <c r="A963">
        <v>201372</v>
      </c>
      <c r="B963">
        <v>34</v>
      </c>
      <c r="C963" s="1">
        <v>79482.17</v>
      </c>
      <c r="D963">
        <v>27</v>
      </c>
      <c r="E963" s="1">
        <v>64026.69</v>
      </c>
      <c r="F963" s="1">
        <v>143508.85999999999</v>
      </c>
    </row>
    <row r="964" spans="1:6" x14ac:dyDescent="0.35">
      <c r="A964">
        <v>200898</v>
      </c>
      <c r="B964">
        <v>26</v>
      </c>
      <c r="C964" s="1">
        <v>57916.26</v>
      </c>
      <c r="D964">
        <v>36</v>
      </c>
      <c r="E964" s="1">
        <v>85573.42</v>
      </c>
      <c r="F964" s="1">
        <v>143489.68</v>
      </c>
    </row>
    <row r="965" spans="1:6" x14ac:dyDescent="0.35">
      <c r="A965">
        <v>200685</v>
      </c>
      <c r="B965">
        <v>24</v>
      </c>
      <c r="C965" s="1">
        <v>55890.66</v>
      </c>
      <c r="D965">
        <v>35</v>
      </c>
      <c r="E965" s="1">
        <v>87580.95</v>
      </c>
      <c r="F965" s="1">
        <v>143471.60999999999</v>
      </c>
    </row>
    <row r="966" spans="1:6" x14ac:dyDescent="0.35">
      <c r="A966">
        <v>200127</v>
      </c>
      <c r="B966">
        <v>27</v>
      </c>
      <c r="C966" s="1">
        <v>60411.65</v>
      </c>
      <c r="D966">
        <v>31</v>
      </c>
      <c r="E966" s="1">
        <v>83040.210000000006</v>
      </c>
      <c r="F966" s="1">
        <v>143451.85999999999</v>
      </c>
    </row>
    <row r="967" spans="1:6" x14ac:dyDescent="0.35">
      <c r="A967">
        <v>200565</v>
      </c>
      <c r="B967">
        <v>30</v>
      </c>
      <c r="C967" s="1">
        <v>67021.7</v>
      </c>
      <c r="D967">
        <v>25</v>
      </c>
      <c r="E967" s="1">
        <v>76411.86</v>
      </c>
      <c r="F967" s="1">
        <v>143433.56</v>
      </c>
    </row>
    <row r="968" spans="1:6" x14ac:dyDescent="0.35">
      <c r="A968">
        <v>201255</v>
      </c>
      <c r="B968">
        <v>30</v>
      </c>
      <c r="C968" s="1">
        <v>75709.789999999994</v>
      </c>
      <c r="D968">
        <v>29</v>
      </c>
      <c r="E968" s="1">
        <v>67617.759999999995</v>
      </c>
      <c r="F968" s="1">
        <v>143327.54999999999</v>
      </c>
    </row>
    <row r="969" spans="1:6" x14ac:dyDescent="0.35">
      <c r="A969">
        <v>200914</v>
      </c>
      <c r="B969">
        <v>28</v>
      </c>
      <c r="C969" s="1">
        <v>71507.990000000005</v>
      </c>
      <c r="D969">
        <v>32</v>
      </c>
      <c r="E969" s="1">
        <v>71814.41</v>
      </c>
      <c r="F969" s="1">
        <v>143322.4</v>
      </c>
    </row>
    <row r="970" spans="1:6" x14ac:dyDescent="0.35">
      <c r="A970">
        <v>200038</v>
      </c>
      <c r="B970">
        <v>24</v>
      </c>
      <c r="C970" s="1">
        <v>58682</v>
      </c>
      <c r="D970">
        <v>35</v>
      </c>
      <c r="E970" s="1">
        <v>84633.67</v>
      </c>
      <c r="F970" s="1">
        <v>143315.66999999899</v>
      </c>
    </row>
    <row r="971" spans="1:6" x14ac:dyDescent="0.35">
      <c r="A971">
        <v>200455</v>
      </c>
      <c r="B971">
        <v>22</v>
      </c>
      <c r="C971" s="1">
        <v>62056.01</v>
      </c>
      <c r="D971">
        <v>30</v>
      </c>
      <c r="E971" s="1">
        <v>81249.87</v>
      </c>
      <c r="F971" s="1">
        <v>143305.88</v>
      </c>
    </row>
    <row r="972" spans="1:6" x14ac:dyDescent="0.35">
      <c r="A972">
        <v>201191</v>
      </c>
      <c r="B972">
        <v>31</v>
      </c>
      <c r="C972" s="1">
        <v>73848.429999999993</v>
      </c>
      <c r="D972">
        <v>33</v>
      </c>
      <c r="E972" s="1">
        <v>69440.039999999994</v>
      </c>
      <c r="F972" s="1">
        <v>143288.46999999901</v>
      </c>
    </row>
    <row r="973" spans="1:6" x14ac:dyDescent="0.35">
      <c r="A973">
        <v>201081</v>
      </c>
      <c r="B973">
        <v>30</v>
      </c>
      <c r="C973" s="1">
        <v>78470.259999999995</v>
      </c>
      <c r="D973">
        <v>24</v>
      </c>
      <c r="E973" s="1">
        <v>64786.99</v>
      </c>
      <c r="F973" s="1">
        <v>143257.25</v>
      </c>
    </row>
    <row r="974" spans="1:6" x14ac:dyDescent="0.35">
      <c r="A974">
        <v>200264</v>
      </c>
      <c r="B974">
        <v>27</v>
      </c>
      <c r="C974" s="1">
        <v>70653.81</v>
      </c>
      <c r="D974">
        <v>29</v>
      </c>
      <c r="E974" s="1">
        <v>72597.8</v>
      </c>
      <c r="F974" s="1">
        <v>143251.60999999999</v>
      </c>
    </row>
    <row r="975" spans="1:6" x14ac:dyDescent="0.35">
      <c r="A975">
        <v>200119</v>
      </c>
      <c r="B975">
        <v>37</v>
      </c>
      <c r="C975" s="1">
        <v>81667.97</v>
      </c>
      <c r="D975">
        <v>25</v>
      </c>
      <c r="E975" s="1">
        <v>61474.86</v>
      </c>
      <c r="F975" s="1">
        <v>143142.82999999999</v>
      </c>
    </row>
    <row r="976" spans="1:6" x14ac:dyDescent="0.35">
      <c r="A976">
        <v>201121</v>
      </c>
      <c r="B976">
        <v>23</v>
      </c>
      <c r="C976" s="1">
        <v>50368.21</v>
      </c>
      <c r="D976">
        <v>30</v>
      </c>
      <c r="E976" s="1">
        <v>92680.960000000006</v>
      </c>
      <c r="F976" s="1">
        <v>143049.17000000001</v>
      </c>
    </row>
    <row r="977" spans="1:6" x14ac:dyDescent="0.35">
      <c r="A977">
        <v>200847</v>
      </c>
      <c r="B977">
        <v>28</v>
      </c>
      <c r="C977" s="1">
        <v>74662.41</v>
      </c>
      <c r="D977">
        <v>30</v>
      </c>
      <c r="E977" s="1">
        <v>68343.23</v>
      </c>
      <c r="F977" s="1">
        <v>143005.64000000001</v>
      </c>
    </row>
    <row r="978" spans="1:6" x14ac:dyDescent="0.35">
      <c r="A978">
        <v>201042</v>
      </c>
      <c r="B978">
        <v>27</v>
      </c>
      <c r="C978" s="1">
        <v>68684.27</v>
      </c>
      <c r="D978">
        <v>33</v>
      </c>
      <c r="E978" s="1">
        <v>74310.62</v>
      </c>
      <c r="F978" s="1">
        <v>142994.89000000001</v>
      </c>
    </row>
    <row r="979" spans="1:6" x14ac:dyDescent="0.35">
      <c r="A979">
        <v>200011</v>
      </c>
      <c r="B979">
        <v>29</v>
      </c>
      <c r="C979" s="1">
        <v>72362.070000000007</v>
      </c>
      <c r="D979">
        <v>32</v>
      </c>
      <c r="E979" s="1">
        <v>70620.649999999994</v>
      </c>
      <c r="F979" s="1">
        <v>142982.72</v>
      </c>
    </row>
    <row r="980" spans="1:6" x14ac:dyDescent="0.35">
      <c r="A980">
        <v>201387</v>
      </c>
      <c r="B980">
        <v>32</v>
      </c>
      <c r="C980" s="1">
        <v>76583.59</v>
      </c>
      <c r="D980">
        <v>29</v>
      </c>
      <c r="E980" s="1">
        <v>66388.45</v>
      </c>
      <c r="F980" s="1">
        <v>142972.03999999899</v>
      </c>
    </row>
    <row r="981" spans="1:6" x14ac:dyDescent="0.35">
      <c r="A981">
        <v>200146</v>
      </c>
      <c r="B981">
        <v>32</v>
      </c>
      <c r="C981" s="1">
        <v>81351.78</v>
      </c>
      <c r="D981">
        <v>28</v>
      </c>
      <c r="E981" s="1">
        <v>61602.61</v>
      </c>
      <c r="F981" s="1">
        <v>142954.39000000001</v>
      </c>
    </row>
    <row r="982" spans="1:6" x14ac:dyDescent="0.35">
      <c r="A982">
        <v>201469</v>
      </c>
      <c r="B982">
        <v>34</v>
      </c>
      <c r="C982" s="1">
        <v>72931.37</v>
      </c>
      <c r="D982">
        <v>32</v>
      </c>
      <c r="E982" s="1">
        <v>70018.62</v>
      </c>
      <c r="F982" s="1">
        <v>142949.99</v>
      </c>
    </row>
    <row r="983" spans="1:6" x14ac:dyDescent="0.35">
      <c r="A983">
        <v>201632</v>
      </c>
      <c r="B983">
        <v>37</v>
      </c>
      <c r="C983" s="1">
        <v>81729.88</v>
      </c>
      <c r="D983">
        <v>28</v>
      </c>
      <c r="E983" s="1">
        <v>61179.11</v>
      </c>
      <c r="F983" s="1">
        <v>142908.99</v>
      </c>
    </row>
    <row r="984" spans="1:6" x14ac:dyDescent="0.35">
      <c r="A984">
        <v>200955</v>
      </c>
      <c r="B984">
        <v>24</v>
      </c>
      <c r="C984" s="1">
        <v>68666.539999999994</v>
      </c>
      <c r="D984">
        <v>32</v>
      </c>
      <c r="E984" s="1">
        <v>74232.740000000005</v>
      </c>
      <c r="F984" s="1">
        <v>142899.28</v>
      </c>
    </row>
    <row r="985" spans="1:6" x14ac:dyDescent="0.35">
      <c r="A985">
        <v>200959</v>
      </c>
      <c r="B985">
        <v>37</v>
      </c>
      <c r="C985" s="1">
        <v>102330.05</v>
      </c>
      <c r="D985">
        <v>17</v>
      </c>
      <c r="E985" s="1">
        <v>40560</v>
      </c>
      <c r="F985" s="1">
        <v>142890.04999999999</v>
      </c>
    </row>
    <row r="986" spans="1:6" x14ac:dyDescent="0.35">
      <c r="A986">
        <v>200555</v>
      </c>
      <c r="B986">
        <v>27</v>
      </c>
      <c r="C986" s="1">
        <v>69711.990000000005</v>
      </c>
      <c r="D986">
        <v>31</v>
      </c>
      <c r="E986" s="1">
        <v>73161.06</v>
      </c>
      <c r="F986" s="1">
        <v>142873.04999999999</v>
      </c>
    </row>
    <row r="987" spans="1:6" x14ac:dyDescent="0.35">
      <c r="A987">
        <v>200123</v>
      </c>
      <c r="B987">
        <v>26</v>
      </c>
      <c r="C987" s="1">
        <v>68670.789999999994</v>
      </c>
      <c r="D987">
        <v>34</v>
      </c>
      <c r="E987" s="1">
        <v>74183.55</v>
      </c>
      <c r="F987" s="1">
        <v>142854.34</v>
      </c>
    </row>
    <row r="988" spans="1:6" x14ac:dyDescent="0.35">
      <c r="A988">
        <v>201401</v>
      </c>
      <c r="B988">
        <v>24</v>
      </c>
      <c r="C988" s="1">
        <v>60321.32</v>
      </c>
      <c r="D988">
        <v>35</v>
      </c>
      <c r="E988" s="1">
        <v>82532.990000000005</v>
      </c>
      <c r="F988" s="1">
        <v>142854.31</v>
      </c>
    </row>
    <row r="989" spans="1:6" x14ac:dyDescent="0.35">
      <c r="A989">
        <v>201273</v>
      </c>
      <c r="B989">
        <v>27</v>
      </c>
      <c r="C989" s="1">
        <v>73917.289999999994</v>
      </c>
      <c r="D989">
        <v>26</v>
      </c>
      <c r="E989" s="1">
        <v>68929.33</v>
      </c>
      <c r="F989" s="1">
        <v>142846.62</v>
      </c>
    </row>
    <row r="990" spans="1:6" x14ac:dyDescent="0.35">
      <c r="A990">
        <v>200280</v>
      </c>
      <c r="B990">
        <v>26</v>
      </c>
      <c r="C990" s="1">
        <v>68414.92</v>
      </c>
      <c r="D990">
        <v>34</v>
      </c>
      <c r="E990" s="1">
        <v>74317.95</v>
      </c>
      <c r="F990" s="1">
        <v>142732.87</v>
      </c>
    </row>
    <row r="991" spans="1:6" x14ac:dyDescent="0.35">
      <c r="A991">
        <v>201181</v>
      </c>
      <c r="B991">
        <v>36</v>
      </c>
      <c r="C991" s="1">
        <v>96496.85</v>
      </c>
      <c r="D991">
        <v>24</v>
      </c>
      <c r="E991" s="1">
        <v>46214.5</v>
      </c>
      <c r="F991" s="1">
        <v>142711.35</v>
      </c>
    </row>
    <row r="992" spans="1:6" x14ac:dyDescent="0.35">
      <c r="A992">
        <v>200322</v>
      </c>
      <c r="B992">
        <v>29</v>
      </c>
      <c r="C992" s="1">
        <v>69999.73</v>
      </c>
      <c r="D992">
        <v>34</v>
      </c>
      <c r="E992" s="1">
        <v>72684.990000000005</v>
      </c>
      <c r="F992" s="1">
        <v>142684.72</v>
      </c>
    </row>
    <row r="993" spans="1:6" x14ac:dyDescent="0.35">
      <c r="A993">
        <v>200316</v>
      </c>
      <c r="B993">
        <v>25</v>
      </c>
      <c r="C993" s="1">
        <v>64699.88</v>
      </c>
      <c r="D993">
        <v>30</v>
      </c>
      <c r="E993" s="1">
        <v>77969.570000000007</v>
      </c>
      <c r="F993" s="1">
        <v>142669.45000000001</v>
      </c>
    </row>
    <row r="994" spans="1:6" x14ac:dyDescent="0.35">
      <c r="A994">
        <v>201426</v>
      </c>
      <c r="B994">
        <v>25</v>
      </c>
      <c r="C994" s="1">
        <v>65644.62</v>
      </c>
      <c r="D994">
        <v>28</v>
      </c>
      <c r="E994" s="1">
        <v>76961.350000000006</v>
      </c>
      <c r="F994" s="1">
        <v>142605.97</v>
      </c>
    </row>
    <row r="995" spans="1:6" x14ac:dyDescent="0.35">
      <c r="A995">
        <v>200865</v>
      </c>
      <c r="B995">
        <v>33</v>
      </c>
      <c r="C995" s="1">
        <v>74289.73</v>
      </c>
      <c r="D995">
        <v>26</v>
      </c>
      <c r="E995" s="1">
        <v>68111.17</v>
      </c>
      <c r="F995" s="1">
        <v>142400.9</v>
      </c>
    </row>
    <row r="996" spans="1:6" x14ac:dyDescent="0.35">
      <c r="A996">
        <v>200414</v>
      </c>
      <c r="B996">
        <v>27</v>
      </c>
      <c r="C996" s="1">
        <v>72296.350000000006</v>
      </c>
      <c r="D996">
        <v>28</v>
      </c>
      <c r="E996" s="1">
        <v>70049.2</v>
      </c>
      <c r="F996" s="1">
        <v>142345.54999999999</v>
      </c>
    </row>
    <row r="997" spans="1:6" x14ac:dyDescent="0.35">
      <c r="A997">
        <v>201516</v>
      </c>
      <c r="B997">
        <v>28</v>
      </c>
      <c r="C997" s="1">
        <v>73097.070000000007</v>
      </c>
      <c r="D997">
        <v>28</v>
      </c>
      <c r="E997" s="1">
        <v>69241.45</v>
      </c>
      <c r="F997" s="1">
        <v>142338.51999999999</v>
      </c>
    </row>
    <row r="998" spans="1:6" x14ac:dyDescent="0.35">
      <c r="A998">
        <v>200331</v>
      </c>
      <c r="B998">
        <v>27</v>
      </c>
      <c r="C998" s="1">
        <v>62459.23</v>
      </c>
      <c r="D998">
        <v>29</v>
      </c>
      <c r="E998" s="1">
        <v>79868.639999999999</v>
      </c>
      <c r="F998" s="1">
        <v>142327.87</v>
      </c>
    </row>
    <row r="999" spans="1:6" x14ac:dyDescent="0.35">
      <c r="A999">
        <v>200918</v>
      </c>
      <c r="B999">
        <v>30</v>
      </c>
      <c r="C999" s="1">
        <v>70966.39</v>
      </c>
      <c r="D999">
        <v>29</v>
      </c>
      <c r="E999" s="1">
        <v>71341.05</v>
      </c>
      <c r="F999" s="1">
        <v>142307.44</v>
      </c>
    </row>
    <row r="1000" spans="1:6" x14ac:dyDescent="0.35">
      <c r="A1000">
        <v>201365</v>
      </c>
      <c r="B1000">
        <v>31</v>
      </c>
      <c r="C1000" s="1">
        <v>75540.31</v>
      </c>
      <c r="D1000">
        <v>24</v>
      </c>
      <c r="E1000" s="1">
        <v>66752.679999999993</v>
      </c>
      <c r="F1000" s="1">
        <v>142292.99</v>
      </c>
    </row>
    <row r="1001" spans="1:6" x14ac:dyDescent="0.35">
      <c r="A1001">
        <v>201279</v>
      </c>
      <c r="B1001">
        <v>27</v>
      </c>
      <c r="C1001" s="1">
        <v>73174.14</v>
      </c>
      <c r="D1001">
        <v>26</v>
      </c>
      <c r="E1001" s="1">
        <v>69107.399999999994</v>
      </c>
      <c r="F1001" s="1">
        <v>142281.53999999899</v>
      </c>
    </row>
    <row r="1002" spans="1:6" x14ac:dyDescent="0.35">
      <c r="A1002">
        <v>200066</v>
      </c>
      <c r="B1002">
        <v>25</v>
      </c>
      <c r="C1002" s="1">
        <v>76555.570000000007</v>
      </c>
      <c r="D1002">
        <v>33</v>
      </c>
      <c r="E1002" s="1">
        <v>65680.77</v>
      </c>
      <c r="F1002" s="1">
        <v>142236.34</v>
      </c>
    </row>
    <row r="1003" spans="1:6" x14ac:dyDescent="0.35">
      <c r="A1003">
        <v>201599</v>
      </c>
      <c r="B1003">
        <v>27</v>
      </c>
      <c r="C1003" s="1">
        <v>57854.26</v>
      </c>
      <c r="D1003">
        <v>31</v>
      </c>
      <c r="E1003" s="1">
        <v>84371.29</v>
      </c>
      <c r="F1003" s="1">
        <v>142225.54999999999</v>
      </c>
    </row>
    <row r="1004" spans="1:6" x14ac:dyDescent="0.35">
      <c r="A1004">
        <v>200853</v>
      </c>
      <c r="B1004">
        <v>27</v>
      </c>
      <c r="C1004" s="1">
        <v>72225.289999999994</v>
      </c>
      <c r="D1004">
        <v>31</v>
      </c>
      <c r="E1004" s="1">
        <v>69999.59</v>
      </c>
      <c r="F1004" s="1">
        <v>142224.88</v>
      </c>
    </row>
    <row r="1005" spans="1:6" x14ac:dyDescent="0.35">
      <c r="A1005">
        <v>200438</v>
      </c>
      <c r="B1005">
        <v>26</v>
      </c>
      <c r="C1005" s="1">
        <v>61483.35</v>
      </c>
      <c r="D1005">
        <v>35</v>
      </c>
      <c r="E1005" s="1">
        <v>80737.320000000007</v>
      </c>
      <c r="F1005" s="1">
        <v>142220.67000000001</v>
      </c>
    </row>
    <row r="1006" spans="1:6" x14ac:dyDescent="0.35">
      <c r="A1006">
        <v>201570</v>
      </c>
      <c r="B1006">
        <v>29</v>
      </c>
      <c r="C1006" s="1">
        <v>54423.48</v>
      </c>
      <c r="D1006">
        <v>33</v>
      </c>
      <c r="E1006" s="1">
        <v>87756.67</v>
      </c>
      <c r="F1006" s="1">
        <v>142180.15</v>
      </c>
    </row>
    <row r="1007" spans="1:6" x14ac:dyDescent="0.35">
      <c r="A1007">
        <v>201093</v>
      </c>
      <c r="B1007">
        <v>27</v>
      </c>
      <c r="C1007" s="1">
        <v>78545.55</v>
      </c>
      <c r="D1007">
        <v>31</v>
      </c>
      <c r="E1007" s="1">
        <v>63573.91</v>
      </c>
      <c r="F1007" s="1">
        <v>142119.46</v>
      </c>
    </row>
    <row r="1008" spans="1:6" x14ac:dyDescent="0.35">
      <c r="A1008">
        <v>201559</v>
      </c>
      <c r="B1008">
        <v>25</v>
      </c>
      <c r="C1008" s="1">
        <v>68735.41</v>
      </c>
      <c r="D1008">
        <v>29</v>
      </c>
      <c r="E1008" s="1">
        <v>73363.86</v>
      </c>
      <c r="F1008" s="1">
        <v>142099.26999999999</v>
      </c>
    </row>
    <row r="1009" spans="1:6" x14ac:dyDescent="0.35">
      <c r="A1009">
        <v>201085</v>
      </c>
      <c r="B1009">
        <v>28</v>
      </c>
      <c r="C1009" s="1">
        <v>69110.83</v>
      </c>
      <c r="D1009">
        <v>32</v>
      </c>
      <c r="E1009" s="1">
        <v>72738.679999999993</v>
      </c>
      <c r="F1009" s="1">
        <v>141849.51</v>
      </c>
    </row>
    <row r="1010" spans="1:6" x14ac:dyDescent="0.35">
      <c r="A1010">
        <v>201147</v>
      </c>
      <c r="B1010">
        <v>28</v>
      </c>
      <c r="C1010" s="1">
        <v>63593.98</v>
      </c>
      <c r="D1010">
        <v>34</v>
      </c>
      <c r="E1010" s="1">
        <v>78242.77</v>
      </c>
      <c r="F1010" s="1">
        <v>141836.75</v>
      </c>
    </row>
    <row r="1011" spans="1:6" x14ac:dyDescent="0.35">
      <c r="A1011">
        <v>201102</v>
      </c>
      <c r="B1011">
        <v>20</v>
      </c>
      <c r="C1011" s="1">
        <v>50315.51</v>
      </c>
      <c r="D1011">
        <v>35</v>
      </c>
      <c r="E1011" s="1">
        <v>91483.39</v>
      </c>
      <c r="F1011" s="1">
        <v>141798.9</v>
      </c>
    </row>
    <row r="1012" spans="1:6" x14ac:dyDescent="0.35">
      <c r="A1012">
        <v>200650</v>
      </c>
      <c r="B1012">
        <v>20</v>
      </c>
      <c r="C1012" s="1">
        <v>51142.39</v>
      </c>
      <c r="D1012">
        <v>32</v>
      </c>
      <c r="E1012" s="1">
        <v>90635.51</v>
      </c>
      <c r="F1012" s="1">
        <v>141777.9</v>
      </c>
    </row>
    <row r="1013" spans="1:6" x14ac:dyDescent="0.35">
      <c r="A1013">
        <v>200184</v>
      </c>
      <c r="B1013">
        <v>30</v>
      </c>
      <c r="C1013" s="1">
        <v>83350.850000000006</v>
      </c>
      <c r="D1013">
        <v>21</v>
      </c>
      <c r="E1013" s="1">
        <v>58413.1</v>
      </c>
      <c r="F1013" s="1">
        <v>141763.95000000001</v>
      </c>
    </row>
    <row r="1014" spans="1:6" x14ac:dyDescent="0.35">
      <c r="A1014">
        <v>201520</v>
      </c>
      <c r="B1014">
        <v>27</v>
      </c>
      <c r="C1014" s="1">
        <v>57962.76</v>
      </c>
      <c r="D1014">
        <v>30</v>
      </c>
      <c r="E1014" s="1">
        <v>83799.33</v>
      </c>
      <c r="F1014" s="1">
        <v>141762.09</v>
      </c>
    </row>
    <row r="1015" spans="1:6" x14ac:dyDescent="0.35">
      <c r="A1015">
        <v>200134</v>
      </c>
      <c r="B1015">
        <v>28</v>
      </c>
      <c r="C1015" s="1">
        <v>72197.19</v>
      </c>
      <c r="D1015">
        <v>33</v>
      </c>
      <c r="E1015" s="1">
        <v>69554.720000000001</v>
      </c>
      <c r="F1015" s="1">
        <v>141751.91</v>
      </c>
    </row>
    <row r="1016" spans="1:6" x14ac:dyDescent="0.35">
      <c r="A1016">
        <v>200014</v>
      </c>
      <c r="B1016">
        <v>36</v>
      </c>
      <c r="C1016" s="1">
        <v>87685.47</v>
      </c>
      <c r="D1016">
        <v>21</v>
      </c>
      <c r="E1016" s="1">
        <v>54049.85</v>
      </c>
      <c r="F1016" s="1">
        <v>141735.32</v>
      </c>
    </row>
    <row r="1017" spans="1:6" x14ac:dyDescent="0.35">
      <c r="A1017">
        <v>200398</v>
      </c>
      <c r="B1017">
        <v>27</v>
      </c>
      <c r="C1017" s="1">
        <v>69633.67</v>
      </c>
      <c r="D1017">
        <v>34</v>
      </c>
      <c r="E1017" s="1">
        <v>72082.87</v>
      </c>
      <c r="F1017" s="1">
        <v>141716.53999999899</v>
      </c>
    </row>
    <row r="1018" spans="1:6" x14ac:dyDescent="0.35">
      <c r="A1018">
        <v>200838</v>
      </c>
      <c r="B1018">
        <v>30</v>
      </c>
      <c r="C1018" s="1">
        <v>61897.34</v>
      </c>
      <c r="D1018">
        <v>30</v>
      </c>
      <c r="E1018" s="1">
        <v>79800.45</v>
      </c>
      <c r="F1018" s="1">
        <v>141697.78999999899</v>
      </c>
    </row>
    <row r="1019" spans="1:6" x14ac:dyDescent="0.35">
      <c r="A1019">
        <v>200350</v>
      </c>
      <c r="B1019">
        <v>32</v>
      </c>
      <c r="C1019" s="1">
        <v>67432.33</v>
      </c>
      <c r="D1019">
        <v>34</v>
      </c>
      <c r="E1019" s="1">
        <v>74236.649999999994</v>
      </c>
      <c r="F1019" s="1">
        <v>141668.97999999899</v>
      </c>
    </row>
    <row r="1020" spans="1:6" x14ac:dyDescent="0.35">
      <c r="A1020">
        <v>200741</v>
      </c>
      <c r="B1020">
        <v>28</v>
      </c>
      <c r="C1020" s="1">
        <v>62774.92</v>
      </c>
      <c r="D1020">
        <v>31</v>
      </c>
      <c r="E1020" s="1">
        <v>78865.440000000002</v>
      </c>
      <c r="F1020" s="1">
        <v>141640.35999999999</v>
      </c>
    </row>
    <row r="1021" spans="1:6" x14ac:dyDescent="0.35">
      <c r="A1021">
        <v>200496</v>
      </c>
      <c r="B1021">
        <v>33</v>
      </c>
      <c r="C1021" s="1">
        <v>69580.81</v>
      </c>
      <c r="D1021">
        <v>29</v>
      </c>
      <c r="E1021" s="1">
        <v>72047.350000000006</v>
      </c>
      <c r="F1021" s="1">
        <v>141628.16</v>
      </c>
    </row>
    <row r="1022" spans="1:6" x14ac:dyDescent="0.35">
      <c r="A1022">
        <v>200103</v>
      </c>
      <c r="B1022">
        <v>25</v>
      </c>
      <c r="C1022" s="1">
        <v>62385.15</v>
      </c>
      <c r="D1022">
        <v>25</v>
      </c>
      <c r="E1022" s="1">
        <v>79234.95</v>
      </c>
      <c r="F1022" s="1">
        <v>141620.1</v>
      </c>
    </row>
    <row r="1023" spans="1:6" x14ac:dyDescent="0.35">
      <c r="A1023">
        <v>201610</v>
      </c>
      <c r="B1023">
        <v>24</v>
      </c>
      <c r="C1023" s="1">
        <v>58582.97</v>
      </c>
      <c r="D1023">
        <v>39</v>
      </c>
      <c r="E1023" s="1">
        <v>82976.33</v>
      </c>
      <c r="F1023" s="1">
        <v>141559.29999999999</v>
      </c>
    </row>
    <row r="1024" spans="1:6" x14ac:dyDescent="0.35">
      <c r="A1024">
        <v>200188</v>
      </c>
      <c r="B1024">
        <v>27</v>
      </c>
      <c r="C1024" s="1">
        <v>72916.58</v>
      </c>
      <c r="D1024">
        <v>29</v>
      </c>
      <c r="E1024" s="1">
        <v>68624.63</v>
      </c>
      <c r="F1024" s="1">
        <v>141541.21</v>
      </c>
    </row>
    <row r="1025" spans="1:6" x14ac:dyDescent="0.35">
      <c r="A1025">
        <v>200120</v>
      </c>
      <c r="B1025">
        <v>34</v>
      </c>
      <c r="C1025" s="1">
        <v>79758.2</v>
      </c>
      <c r="D1025">
        <v>27</v>
      </c>
      <c r="E1025" s="1">
        <v>61727.16</v>
      </c>
      <c r="F1025" s="1">
        <v>141485.35999999999</v>
      </c>
    </row>
    <row r="1026" spans="1:6" x14ac:dyDescent="0.35">
      <c r="A1026">
        <v>200187</v>
      </c>
      <c r="B1026">
        <v>28</v>
      </c>
      <c r="C1026" s="1">
        <v>66808.789999999994</v>
      </c>
      <c r="D1026">
        <v>28</v>
      </c>
      <c r="E1026" s="1">
        <v>74655.61</v>
      </c>
      <c r="F1026" s="1">
        <v>141464.4</v>
      </c>
    </row>
    <row r="1027" spans="1:6" x14ac:dyDescent="0.35">
      <c r="A1027">
        <v>200707</v>
      </c>
      <c r="B1027">
        <v>28</v>
      </c>
      <c r="C1027" s="1">
        <v>61864.69</v>
      </c>
      <c r="D1027">
        <v>29</v>
      </c>
      <c r="E1027" s="1">
        <v>79585.75</v>
      </c>
      <c r="F1027" s="1">
        <v>141450.44</v>
      </c>
    </row>
    <row r="1028" spans="1:6" x14ac:dyDescent="0.35">
      <c r="A1028">
        <v>201359</v>
      </c>
      <c r="B1028">
        <v>23</v>
      </c>
      <c r="C1028" s="1">
        <v>52717.32</v>
      </c>
      <c r="D1028">
        <v>34</v>
      </c>
      <c r="E1028" s="1">
        <v>88686.11</v>
      </c>
      <c r="F1028" s="1">
        <v>141403.43</v>
      </c>
    </row>
    <row r="1029" spans="1:6" x14ac:dyDescent="0.35">
      <c r="A1029">
        <v>201345</v>
      </c>
      <c r="B1029">
        <v>32</v>
      </c>
      <c r="C1029" s="1">
        <v>80049.929999999993</v>
      </c>
      <c r="D1029">
        <v>25</v>
      </c>
      <c r="E1029" s="1">
        <v>61300.92</v>
      </c>
      <c r="F1029" s="1">
        <v>141350.84999999899</v>
      </c>
    </row>
    <row r="1030" spans="1:6" x14ac:dyDescent="0.35">
      <c r="A1030">
        <v>200983</v>
      </c>
      <c r="B1030">
        <v>28</v>
      </c>
      <c r="C1030" s="1">
        <v>69043.600000000006</v>
      </c>
      <c r="D1030">
        <v>32</v>
      </c>
      <c r="E1030" s="1">
        <v>72272.740000000005</v>
      </c>
      <c r="F1030" s="1">
        <v>141316.34</v>
      </c>
    </row>
    <row r="1031" spans="1:6" x14ac:dyDescent="0.35">
      <c r="A1031">
        <v>200391</v>
      </c>
      <c r="B1031">
        <v>22</v>
      </c>
      <c r="C1031" s="1">
        <v>52733.37</v>
      </c>
      <c r="D1031">
        <v>33</v>
      </c>
      <c r="E1031" s="1">
        <v>88519.039999999994</v>
      </c>
      <c r="F1031" s="1">
        <v>141252.41</v>
      </c>
    </row>
    <row r="1032" spans="1:6" x14ac:dyDescent="0.35">
      <c r="A1032">
        <v>200533</v>
      </c>
      <c r="B1032">
        <v>34</v>
      </c>
      <c r="C1032" s="1">
        <v>82488.63</v>
      </c>
      <c r="D1032">
        <v>30</v>
      </c>
      <c r="E1032" s="1">
        <v>58754.45</v>
      </c>
      <c r="F1032" s="1">
        <v>141243.07999999999</v>
      </c>
    </row>
    <row r="1033" spans="1:6" x14ac:dyDescent="0.35">
      <c r="A1033">
        <v>200004</v>
      </c>
      <c r="B1033">
        <v>25</v>
      </c>
      <c r="C1033" s="1">
        <v>61797.98</v>
      </c>
      <c r="D1033">
        <v>29</v>
      </c>
      <c r="E1033" s="1">
        <v>79372.2</v>
      </c>
      <c r="F1033" s="1">
        <v>141170.18</v>
      </c>
    </row>
    <row r="1034" spans="1:6" x14ac:dyDescent="0.35">
      <c r="A1034">
        <v>200943</v>
      </c>
      <c r="B1034">
        <v>31</v>
      </c>
      <c r="C1034" s="1">
        <v>87913.32</v>
      </c>
      <c r="D1034">
        <v>22</v>
      </c>
      <c r="E1034" s="1">
        <v>53250.93</v>
      </c>
      <c r="F1034" s="1">
        <v>141164.25</v>
      </c>
    </row>
    <row r="1035" spans="1:6" x14ac:dyDescent="0.35">
      <c r="A1035">
        <v>200597</v>
      </c>
      <c r="B1035">
        <v>28</v>
      </c>
      <c r="C1035" s="1">
        <v>63059.360000000001</v>
      </c>
      <c r="D1035">
        <v>28</v>
      </c>
      <c r="E1035" s="1">
        <v>78016.56</v>
      </c>
      <c r="F1035" s="1">
        <v>141075.91999999899</v>
      </c>
    </row>
    <row r="1036" spans="1:6" x14ac:dyDescent="0.35">
      <c r="A1036">
        <v>201378</v>
      </c>
      <c r="B1036">
        <v>26</v>
      </c>
      <c r="C1036" s="1">
        <v>55415.67</v>
      </c>
      <c r="D1036">
        <v>33</v>
      </c>
      <c r="E1036" s="1">
        <v>85658.86</v>
      </c>
      <c r="F1036" s="1">
        <v>141074.53</v>
      </c>
    </row>
    <row r="1037" spans="1:6" x14ac:dyDescent="0.35">
      <c r="A1037">
        <v>200926</v>
      </c>
      <c r="B1037">
        <v>30</v>
      </c>
      <c r="C1037" s="1">
        <v>73362.080000000002</v>
      </c>
      <c r="D1037">
        <v>34</v>
      </c>
      <c r="E1037" s="1">
        <v>67645.399999999994</v>
      </c>
      <c r="F1037" s="1">
        <v>141007.47999999899</v>
      </c>
    </row>
    <row r="1038" spans="1:6" x14ac:dyDescent="0.35">
      <c r="A1038">
        <v>201280</v>
      </c>
      <c r="B1038">
        <v>35</v>
      </c>
      <c r="C1038" s="1">
        <v>87707.75</v>
      </c>
      <c r="D1038">
        <v>23</v>
      </c>
      <c r="E1038" s="1">
        <v>53288.49</v>
      </c>
      <c r="F1038" s="1">
        <v>140996.24</v>
      </c>
    </row>
    <row r="1039" spans="1:6" x14ac:dyDescent="0.35">
      <c r="A1039">
        <v>200692</v>
      </c>
      <c r="B1039">
        <v>31</v>
      </c>
      <c r="C1039" s="1">
        <v>84131.85</v>
      </c>
      <c r="D1039">
        <v>27</v>
      </c>
      <c r="E1039" s="1">
        <v>56821.46</v>
      </c>
      <c r="F1039" s="1">
        <v>140953.31</v>
      </c>
    </row>
    <row r="1040" spans="1:6" x14ac:dyDescent="0.35">
      <c r="A1040">
        <v>200936</v>
      </c>
      <c r="B1040">
        <v>25</v>
      </c>
      <c r="C1040" s="1">
        <v>64008.11</v>
      </c>
      <c r="D1040">
        <v>29</v>
      </c>
      <c r="E1040" s="1">
        <v>76921.210000000006</v>
      </c>
      <c r="F1040" s="1">
        <v>140929.32</v>
      </c>
    </row>
    <row r="1041" spans="1:6" x14ac:dyDescent="0.35">
      <c r="A1041">
        <v>200325</v>
      </c>
      <c r="B1041">
        <v>28</v>
      </c>
      <c r="C1041" s="1">
        <v>69435.649999999994</v>
      </c>
      <c r="D1041">
        <v>29</v>
      </c>
      <c r="E1041" s="1">
        <v>71450.820000000007</v>
      </c>
      <c r="F1041" s="1">
        <v>140886.47</v>
      </c>
    </row>
    <row r="1042" spans="1:6" x14ac:dyDescent="0.35">
      <c r="A1042">
        <v>200311</v>
      </c>
      <c r="B1042">
        <v>35</v>
      </c>
      <c r="C1042" s="1">
        <v>76026.850000000006</v>
      </c>
      <c r="D1042">
        <v>29</v>
      </c>
      <c r="E1042" s="1">
        <v>64829.41</v>
      </c>
      <c r="F1042" s="1">
        <v>140856.26</v>
      </c>
    </row>
    <row r="1043" spans="1:6" x14ac:dyDescent="0.35">
      <c r="A1043">
        <v>200671</v>
      </c>
      <c r="B1043">
        <v>28</v>
      </c>
      <c r="C1043" s="1">
        <v>63552.07</v>
      </c>
      <c r="D1043">
        <v>26</v>
      </c>
      <c r="E1043" s="1">
        <v>77299.22</v>
      </c>
      <c r="F1043" s="1">
        <v>140851.29</v>
      </c>
    </row>
    <row r="1044" spans="1:6" x14ac:dyDescent="0.35">
      <c r="A1044">
        <v>200493</v>
      </c>
      <c r="B1044">
        <v>27</v>
      </c>
      <c r="C1044" s="1">
        <v>65810.820000000007</v>
      </c>
      <c r="D1044">
        <v>27</v>
      </c>
      <c r="E1044" s="1">
        <v>75032.289999999994</v>
      </c>
      <c r="F1044" s="1">
        <v>140843.10999999999</v>
      </c>
    </row>
    <row r="1045" spans="1:6" x14ac:dyDescent="0.35">
      <c r="A1045">
        <v>201381</v>
      </c>
      <c r="B1045">
        <v>31</v>
      </c>
      <c r="C1045" s="1">
        <v>74422.350000000006</v>
      </c>
      <c r="D1045">
        <v>25</v>
      </c>
      <c r="E1045" s="1">
        <v>66415.960000000006</v>
      </c>
      <c r="F1045" s="1">
        <v>140838.31</v>
      </c>
    </row>
    <row r="1046" spans="1:6" x14ac:dyDescent="0.35">
      <c r="A1046">
        <v>200490</v>
      </c>
      <c r="B1046">
        <v>25</v>
      </c>
      <c r="C1046" s="1">
        <v>70579.09</v>
      </c>
      <c r="D1046">
        <v>33</v>
      </c>
      <c r="E1046" s="1">
        <v>70203.570000000007</v>
      </c>
      <c r="F1046" s="1">
        <v>140782.66</v>
      </c>
    </row>
    <row r="1047" spans="1:6" x14ac:dyDescent="0.35">
      <c r="A1047">
        <v>200766</v>
      </c>
      <c r="B1047">
        <v>28</v>
      </c>
      <c r="C1047" s="1">
        <v>84908.1</v>
      </c>
      <c r="D1047">
        <v>20</v>
      </c>
      <c r="E1047" s="1">
        <v>55867.24</v>
      </c>
      <c r="F1047" s="1">
        <v>140775.34</v>
      </c>
    </row>
    <row r="1048" spans="1:6" x14ac:dyDescent="0.35">
      <c r="A1048">
        <v>201286</v>
      </c>
      <c r="B1048">
        <v>30</v>
      </c>
      <c r="C1048" s="1">
        <v>70773.600000000006</v>
      </c>
      <c r="D1048">
        <v>27</v>
      </c>
      <c r="E1048" s="1">
        <v>69999.94</v>
      </c>
      <c r="F1048" s="1">
        <v>140773.54</v>
      </c>
    </row>
    <row r="1049" spans="1:6" x14ac:dyDescent="0.35">
      <c r="A1049">
        <v>201346</v>
      </c>
      <c r="B1049">
        <v>34</v>
      </c>
      <c r="C1049" s="1">
        <v>82399.679999999993</v>
      </c>
      <c r="D1049">
        <v>21</v>
      </c>
      <c r="E1049" s="1">
        <v>58356.4</v>
      </c>
      <c r="F1049" s="1">
        <v>140756.07999999999</v>
      </c>
    </row>
    <row r="1050" spans="1:6" x14ac:dyDescent="0.35">
      <c r="A1050">
        <v>201094</v>
      </c>
      <c r="B1050">
        <v>31</v>
      </c>
      <c r="C1050" s="1">
        <v>79720.509999999995</v>
      </c>
      <c r="D1050">
        <v>24</v>
      </c>
      <c r="E1050" s="1">
        <v>60990.06</v>
      </c>
      <c r="F1050" s="1">
        <v>140710.57</v>
      </c>
    </row>
    <row r="1051" spans="1:6" x14ac:dyDescent="0.35">
      <c r="A1051">
        <v>200052</v>
      </c>
      <c r="B1051">
        <v>28</v>
      </c>
      <c r="C1051" s="1">
        <v>71594.69</v>
      </c>
      <c r="D1051">
        <v>25</v>
      </c>
      <c r="E1051" s="1">
        <v>69096.899999999994</v>
      </c>
      <c r="F1051" s="1">
        <v>140691.59</v>
      </c>
    </row>
    <row r="1052" spans="1:6" x14ac:dyDescent="0.35">
      <c r="A1052">
        <v>200893</v>
      </c>
      <c r="B1052">
        <v>27</v>
      </c>
      <c r="C1052" s="1">
        <v>61117.13</v>
      </c>
      <c r="D1052">
        <v>25</v>
      </c>
      <c r="E1052" s="1">
        <v>79519.69</v>
      </c>
      <c r="F1052" s="1">
        <v>140636.82</v>
      </c>
    </row>
    <row r="1053" spans="1:6" x14ac:dyDescent="0.35">
      <c r="A1053">
        <v>200799</v>
      </c>
      <c r="B1053">
        <v>30</v>
      </c>
      <c r="C1053" s="1">
        <v>82398.210000000006</v>
      </c>
      <c r="D1053">
        <v>23</v>
      </c>
      <c r="E1053" s="1">
        <v>58218.82</v>
      </c>
      <c r="F1053" s="1">
        <v>140617.03</v>
      </c>
    </row>
    <row r="1054" spans="1:6" x14ac:dyDescent="0.35">
      <c r="A1054">
        <v>201041</v>
      </c>
      <c r="B1054">
        <v>30</v>
      </c>
      <c r="C1054" s="1">
        <v>74742</v>
      </c>
      <c r="D1054">
        <v>26</v>
      </c>
      <c r="E1054" s="1">
        <v>65830.66</v>
      </c>
      <c r="F1054" s="1">
        <v>140572.66</v>
      </c>
    </row>
    <row r="1055" spans="1:6" x14ac:dyDescent="0.35">
      <c r="A1055">
        <v>200407</v>
      </c>
      <c r="B1055">
        <v>26</v>
      </c>
      <c r="C1055" s="1">
        <v>58371.82</v>
      </c>
      <c r="D1055">
        <v>34</v>
      </c>
      <c r="E1055" s="1">
        <v>82178.97</v>
      </c>
      <c r="F1055" s="1">
        <v>140550.79</v>
      </c>
    </row>
    <row r="1056" spans="1:6" x14ac:dyDescent="0.35">
      <c r="A1056">
        <v>200380</v>
      </c>
      <c r="B1056">
        <v>31</v>
      </c>
      <c r="C1056" s="1">
        <v>80942.899999999994</v>
      </c>
      <c r="D1056">
        <v>26</v>
      </c>
      <c r="E1056" s="1">
        <v>59607.02</v>
      </c>
      <c r="F1056" s="1">
        <v>140549.91999999899</v>
      </c>
    </row>
    <row r="1057" spans="1:6" x14ac:dyDescent="0.35">
      <c r="A1057">
        <v>201529</v>
      </c>
      <c r="B1057">
        <v>24</v>
      </c>
      <c r="C1057" s="1">
        <v>67007.56</v>
      </c>
      <c r="D1057">
        <v>26</v>
      </c>
      <c r="E1057" s="1">
        <v>73522.33</v>
      </c>
      <c r="F1057" s="1">
        <v>140529.89000000001</v>
      </c>
    </row>
    <row r="1058" spans="1:6" x14ac:dyDescent="0.35">
      <c r="A1058">
        <v>201495</v>
      </c>
      <c r="B1058">
        <v>30</v>
      </c>
      <c r="C1058" s="1">
        <v>78359.05</v>
      </c>
      <c r="D1058">
        <v>23</v>
      </c>
      <c r="E1058" s="1">
        <v>62112.07</v>
      </c>
      <c r="F1058" s="1">
        <v>140471.12</v>
      </c>
    </row>
    <row r="1059" spans="1:6" x14ac:dyDescent="0.35">
      <c r="A1059">
        <v>201029</v>
      </c>
      <c r="B1059">
        <v>27</v>
      </c>
      <c r="C1059" s="1">
        <v>66139.649999999994</v>
      </c>
      <c r="D1059">
        <v>29</v>
      </c>
      <c r="E1059" s="1">
        <v>74330.080000000002</v>
      </c>
      <c r="F1059" s="1">
        <v>140469.72999999899</v>
      </c>
    </row>
    <row r="1060" spans="1:6" x14ac:dyDescent="0.35">
      <c r="A1060">
        <v>200829</v>
      </c>
      <c r="B1060">
        <v>25</v>
      </c>
      <c r="C1060" s="1">
        <v>63941.61</v>
      </c>
      <c r="D1060">
        <v>33</v>
      </c>
      <c r="E1060" s="1">
        <v>76523.66</v>
      </c>
      <c r="F1060" s="1">
        <v>140465.26999999999</v>
      </c>
    </row>
    <row r="1061" spans="1:6" x14ac:dyDescent="0.35">
      <c r="A1061">
        <v>200108</v>
      </c>
      <c r="B1061">
        <v>28</v>
      </c>
      <c r="C1061" s="1">
        <v>70931.740000000005</v>
      </c>
      <c r="D1061">
        <v>24</v>
      </c>
      <c r="E1061" s="1">
        <v>69412.56</v>
      </c>
      <c r="F1061" s="1">
        <v>140344.29999999999</v>
      </c>
    </row>
    <row r="1062" spans="1:6" x14ac:dyDescent="0.35">
      <c r="A1062">
        <v>200804</v>
      </c>
      <c r="B1062">
        <v>30</v>
      </c>
      <c r="C1062" s="1">
        <v>68546.149999999994</v>
      </c>
      <c r="D1062">
        <v>31</v>
      </c>
      <c r="E1062" s="1">
        <v>71690.42</v>
      </c>
      <c r="F1062" s="1">
        <v>140236.57</v>
      </c>
    </row>
    <row r="1063" spans="1:6" x14ac:dyDescent="0.35">
      <c r="A1063">
        <v>201064</v>
      </c>
      <c r="B1063">
        <v>28</v>
      </c>
      <c r="C1063" s="1">
        <v>58575.14</v>
      </c>
      <c r="D1063">
        <v>27</v>
      </c>
      <c r="E1063" s="1">
        <v>81504.69</v>
      </c>
      <c r="F1063" s="1">
        <v>140079.82999999999</v>
      </c>
    </row>
    <row r="1064" spans="1:6" x14ac:dyDescent="0.35">
      <c r="A1064">
        <v>200043</v>
      </c>
      <c r="B1064">
        <v>31</v>
      </c>
      <c r="C1064" s="1">
        <v>64457.31</v>
      </c>
      <c r="D1064">
        <v>26</v>
      </c>
      <c r="E1064" s="1">
        <v>75564.13</v>
      </c>
      <c r="F1064" s="1">
        <v>140021.44</v>
      </c>
    </row>
    <row r="1065" spans="1:6" x14ac:dyDescent="0.35">
      <c r="A1065">
        <v>200443</v>
      </c>
      <c r="B1065">
        <v>22</v>
      </c>
      <c r="C1065" s="1">
        <v>53945.69</v>
      </c>
      <c r="D1065">
        <v>33</v>
      </c>
      <c r="E1065" s="1">
        <v>86050.14</v>
      </c>
      <c r="F1065" s="1">
        <v>139995.82999999999</v>
      </c>
    </row>
    <row r="1066" spans="1:6" x14ac:dyDescent="0.35">
      <c r="A1066">
        <v>200368</v>
      </c>
      <c r="B1066">
        <v>25</v>
      </c>
      <c r="C1066" s="1">
        <v>74112.039999999994</v>
      </c>
      <c r="D1066">
        <v>26</v>
      </c>
      <c r="E1066" s="1">
        <v>65857.440000000002</v>
      </c>
      <c r="F1066" s="1">
        <v>139969.47999999899</v>
      </c>
    </row>
    <row r="1067" spans="1:6" x14ac:dyDescent="0.35">
      <c r="A1067">
        <v>200659</v>
      </c>
      <c r="B1067">
        <v>21</v>
      </c>
      <c r="C1067" s="1">
        <v>45136.29</v>
      </c>
      <c r="D1067">
        <v>36</v>
      </c>
      <c r="E1067" s="1">
        <v>94783.3</v>
      </c>
      <c r="F1067" s="1">
        <v>139919.59</v>
      </c>
    </row>
    <row r="1068" spans="1:6" x14ac:dyDescent="0.35">
      <c r="A1068">
        <v>201053</v>
      </c>
      <c r="B1068">
        <v>26</v>
      </c>
      <c r="C1068" s="1">
        <v>66981.850000000006</v>
      </c>
      <c r="D1068">
        <v>30</v>
      </c>
      <c r="E1068" s="1">
        <v>72922.03</v>
      </c>
      <c r="F1068" s="1">
        <v>139903.88</v>
      </c>
    </row>
    <row r="1069" spans="1:6" x14ac:dyDescent="0.35">
      <c r="A1069">
        <v>200819</v>
      </c>
      <c r="B1069">
        <v>28</v>
      </c>
      <c r="C1069" s="1">
        <v>60467.73</v>
      </c>
      <c r="D1069">
        <v>30</v>
      </c>
      <c r="E1069" s="1">
        <v>79362.720000000001</v>
      </c>
      <c r="F1069" s="1">
        <v>139830.45000000001</v>
      </c>
    </row>
    <row r="1070" spans="1:6" x14ac:dyDescent="0.35">
      <c r="A1070">
        <v>200465</v>
      </c>
      <c r="B1070">
        <v>25</v>
      </c>
      <c r="C1070" s="1">
        <v>60250.32</v>
      </c>
      <c r="D1070">
        <v>35</v>
      </c>
      <c r="E1070" s="1">
        <v>79524.67</v>
      </c>
      <c r="F1070" s="1">
        <v>139774.99</v>
      </c>
    </row>
    <row r="1071" spans="1:6" x14ac:dyDescent="0.35">
      <c r="A1071">
        <v>200944</v>
      </c>
      <c r="B1071">
        <v>30</v>
      </c>
      <c r="C1071" s="1">
        <v>62768.800000000003</v>
      </c>
      <c r="D1071">
        <v>29</v>
      </c>
      <c r="E1071" s="1">
        <v>76951.350000000006</v>
      </c>
      <c r="F1071" s="1">
        <v>139720.15</v>
      </c>
    </row>
    <row r="1072" spans="1:6" x14ac:dyDescent="0.35">
      <c r="A1072">
        <v>200344</v>
      </c>
      <c r="B1072">
        <v>32</v>
      </c>
      <c r="C1072" s="1">
        <v>84535.44</v>
      </c>
      <c r="D1072">
        <v>22</v>
      </c>
      <c r="E1072" s="1">
        <v>55156.91</v>
      </c>
      <c r="F1072" s="1">
        <v>139692.35</v>
      </c>
    </row>
    <row r="1073" spans="1:6" x14ac:dyDescent="0.35">
      <c r="A1073">
        <v>201327</v>
      </c>
      <c r="B1073">
        <v>27</v>
      </c>
      <c r="C1073" s="1">
        <v>68170.52</v>
      </c>
      <c r="D1073">
        <v>30</v>
      </c>
      <c r="E1073" s="1">
        <v>71521.09</v>
      </c>
      <c r="F1073" s="1">
        <v>139691.60999999999</v>
      </c>
    </row>
    <row r="1074" spans="1:6" x14ac:dyDescent="0.35">
      <c r="A1074">
        <v>200152</v>
      </c>
      <c r="B1074">
        <v>31</v>
      </c>
      <c r="C1074" s="1">
        <v>79692.77</v>
      </c>
      <c r="D1074">
        <v>25</v>
      </c>
      <c r="E1074" s="1">
        <v>59982.080000000002</v>
      </c>
      <c r="F1074" s="1">
        <v>139674.85</v>
      </c>
    </row>
    <row r="1075" spans="1:6" x14ac:dyDescent="0.35">
      <c r="A1075">
        <v>200896</v>
      </c>
      <c r="B1075">
        <v>29</v>
      </c>
      <c r="C1075" s="1">
        <v>64940.33</v>
      </c>
      <c r="D1075">
        <v>33</v>
      </c>
      <c r="E1075" s="1">
        <v>74633.100000000006</v>
      </c>
      <c r="F1075" s="1">
        <v>139573.43</v>
      </c>
    </row>
    <row r="1076" spans="1:6" x14ac:dyDescent="0.35">
      <c r="A1076">
        <v>200033</v>
      </c>
      <c r="B1076">
        <v>23</v>
      </c>
      <c r="C1076" s="1">
        <v>60789.16</v>
      </c>
      <c r="D1076">
        <v>28</v>
      </c>
      <c r="E1076" s="1">
        <v>78755.990000000005</v>
      </c>
      <c r="F1076" s="1">
        <v>139545.15</v>
      </c>
    </row>
    <row r="1077" spans="1:6" x14ac:dyDescent="0.35">
      <c r="A1077">
        <v>200535</v>
      </c>
      <c r="B1077">
        <v>29</v>
      </c>
      <c r="C1077" s="1">
        <v>59980.4</v>
      </c>
      <c r="D1077">
        <v>35</v>
      </c>
      <c r="E1077" s="1">
        <v>79522.45</v>
      </c>
      <c r="F1077" s="1">
        <v>139502.85</v>
      </c>
    </row>
    <row r="1078" spans="1:6" x14ac:dyDescent="0.35">
      <c r="A1078">
        <v>200996</v>
      </c>
      <c r="B1078">
        <v>31</v>
      </c>
      <c r="C1078" s="1">
        <v>84088.86</v>
      </c>
      <c r="D1078">
        <v>27</v>
      </c>
      <c r="E1078" s="1">
        <v>55402.47</v>
      </c>
      <c r="F1078" s="1">
        <v>139491.32999999999</v>
      </c>
    </row>
    <row r="1079" spans="1:6" x14ac:dyDescent="0.35">
      <c r="A1079">
        <v>201079</v>
      </c>
      <c r="B1079">
        <v>25</v>
      </c>
      <c r="C1079" s="1">
        <v>61498.19</v>
      </c>
      <c r="D1079">
        <v>32</v>
      </c>
      <c r="E1079" s="1">
        <v>77935.02</v>
      </c>
      <c r="F1079" s="1">
        <v>139433.21</v>
      </c>
    </row>
    <row r="1080" spans="1:6" x14ac:dyDescent="0.35">
      <c r="A1080">
        <v>200213</v>
      </c>
      <c r="B1080">
        <v>27</v>
      </c>
      <c r="C1080" s="1">
        <v>65458.61</v>
      </c>
      <c r="D1080">
        <v>26</v>
      </c>
      <c r="E1080" s="1">
        <v>73953.61</v>
      </c>
      <c r="F1080" s="1">
        <v>139412.22</v>
      </c>
    </row>
    <row r="1081" spans="1:6" x14ac:dyDescent="0.35">
      <c r="A1081">
        <v>201624</v>
      </c>
      <c r="B1081">
        <v>27</v>
      </c>
      <c r="C1081" s="1">
        <v>70337.3</v>
      </c>
      <c r="D1081">
        <v>24</v>
      </c>
      <c r="E1081" s="1">
        <v>68965.36</v>
      </c>
      <c r="F1081" s="1">
        <v>139302.66</v>
      </c>
    </row>
    <row r="1082" spans="1:6" x14ac:dyDescent="0.35">
      <c r="A1082">
        <v>200071</v>
      </c>
      <c r="B1082">
        <v>29</v>
      </c>
      <c r="C1082" s="1">
        <v>66774.03</v>
      </c>
      <c r="D1082">
        <v>28</v>
      </c>
      <c r="E1082" s="1">
        <v>72523.56</v>
      </c>
      <c r="F1082" s="1">
        <v>139297.59</v>
      </c>
    </row>
    <row r="1083" spans="1:6" x14ac:dyDescent="0.35">
      <c r="A1083">
        <v>200021</v>
      </c>
      <c r="B1083">
        <v>30</v>
      </c>
      <c r="C1083" s="1">
        <v>79255.59</v>
      </c>
      <c r="D1083">
        <v>23</v>
      </c>
      <c r="E1083" s="1">
        <v>60037.02</v>
      </c>
      <c r="F1083" s="1">
        <v>139292.60999999999</v>
      </c>
    </row>
    <row r="1084" spans="1:6" x14ac:dyDescent="0.35">
      <c r="A1084">
        <v>200734</v>
      </c>
      <c r="B1084">
        <v>30</v>
      </c>
      <c r="C1084" s="1">
        <v>53017.32</v>
      </c>
      <c r="D1084">
        <v>32</v>
      </c>
      <c r="E1084" s="1">
        <v>86210.74</v>
      </c>
      <c r="F1084" s="1">
        <v>139228.06</v>
      </c>
    </row>
    <row r="1085" spans="1:6" x14ac:dyDescent="0.35">
      <c r="A1085">
        <v>200679</v>
      </c>
      <c r="B1085">
        <v>32</v>
      </c>
      <c r="C1085" s="1">
        <v>73006.509999999995</v>
      </c>
      <c r="D1085">
        <v>27</v>
      </c>
      <c r="E1085" s="1">
        <v>66204.009999999995</v>
      </c>
      <c r="F1085" s="1">
        <v>139210.51999999999</v>
      </c>
    </row>
    <row r="1086" spans="1:6" x14ac:dyDescent="0.35">
      <c r="A1086">
        <v>201284</v>
      </c>
      <c r="B1086">
        <v>29</v>
      </c>
      <c r="C1086" s="1">
        <v>79663.429999999993</v>
      </c>
      <c r="D1086">
        <v>29</v>
      </c>
      <c r="E1086" s="1">
        <v>59534.02</v>
      </c>
      <c r="F1086" s="1">
        <v>139197.44999999899</v>
      </c>
    </row>
    <row r="1087" spans="1:6" x14ac:dyDescent="0.35">
      <c r="A1087">
        <v>200240</v>
      </c>
      <c r="B1087">
        <v>27</v>
      </c>
      <c r="C1087" s="1">
        <v>67870.12</v>
      </c>
      <c r="D1087">
        <v>26</v>
      </c>
      <c r="E1087" s="1">
        <v>71297.16</v>
      </c>
      <c r="F1087" s="1">
        <v>139167.28</v>
      </c>
    </row>
    <row r="1088" spans="1:6" x14ac:dyDescent="0.35">
      <c r="A1088">
        <v>201088</v>
      </c>
      <c r="B1088">
        <v>28</v>
      </c>
      <c r="C1088" s="1">
        <v>67044.899999999994</v>
      </c>
      <c r="D1088">
        <v>29</v>
      </c>
      <c r="E1088" s="1">
        <v>72069.2</v>
      </c>
      <c r="F1088" s="1">
        <v>139114.09999999899</v>
      </c>
    </row>
    <row r="1089" spans="1:6" x14ac:dyDescent="0.35">
      <c r="A1089">
        <v>201192</v>
      </c>
      <c r="B1089">
        <v>27</v>
      </c>
      <c r="C1089" s="1">
        <v>64546.47</v>
      </c>
      <c r="D1089">
        <v>30</v>
      </c>
      <c r="E1089" s="1">
        <v>74565.210000000006</v>
      </c>
      <c r="F1089" s="1">
        <v>139111.67999999999</v>
      </c>
    </row>
    <row r="1090" spans="1:6" x14ac:dyDescent="0.35">
      <c r="A1090">
        <v>200502</v>
      </c>
      <c r="B1090">
        <v>31</v>
      </c>
      <c r="C1090" s="1">
        <v>78170.28</v>
      </c>
      <c r="D1090">
        <v>20</v>
      </c>
      <c r="E1090" s="1">
        <v>60924.89</v>
      </c>
      <c r="F1090" s="1">
        <v>139095.16999999899</v>
      </c>
    </row>
    <row r="1091" spans="1:6" x14ac:dyDescent="0.35">
      <c r="A1091">
        <v>201640</v>
      </c>
      <c r="B1091">
        <v>33</v>
      </c>
      <c r="C1091" s="1">
        <v>77355.33</v>
      </c>
      <c r="D1091">
        <v>23</v>
      </c>
      <c r="E1091" s="1">
        <v>61671.17</v>
      </c>
      <c r="F1091" s="1">
        <v>139026.5</v>
      </c>
    </row>
    <row r="1092" spans="1:6" x14ac:dyDescent="0.35">
      <c r="A1092">
        <v>201420</v>
      </c>
      <c r="B1092">
        <v>30</v>
      </c>
      <c r="C1092" s="1">
        <v>70792.73</v>
      </c>
      <c r="D1092">
        <v>27</v>
      </c>
      <c r="E1092" s="1">
        <v>68188.05</v>
      </c>
      <c r="F1092" s="1">
        <v>138980.78</v>
      </c>
    </row>
    <row r="1093" spans="1:6" x14ac:dyDescent="0.35">
      <c r="A1093">
        <v>200366</v>
      </c>
      <c r="B1093">
        <v>27</v>
      </c>
      <c r="C1093" s="1">
        <v>62027.88</v>
      </c>
      <c r="D1093">
        <v>33</v>
      </c>
      <c r="E1093" s="1">
        <v>76921.570000000007</v>
      </c>
      <c r="F1093" s="1">
        <v>138949.45000000001</v>
      </c>
    </row>
    <row r="1094" spans="1:6" x14ac:dyDescent="0.35">
      <c r="A1094">
        <v>200934</v>
      </c>
      <c r="B1094">
        <v>32</v>
      </c>
      <c r="C1094" s="1">
        <v>78630.91</v>
      </c>
      <c r="D1094">
        <v>25</v>
      </c>
      <c r="E1094" s="1">
        <v>60304.99</v>
      </c>
      <c r="F1094" s="1">
        <v>138935.9</v>
      </c>
    </row>
    <row r="1095" spans="1:6" x14ac:dyDescent="0.35">
      <c r="A1095">
        <v>200462</v>
      </c>
      <c r="B1095">
        <v>24</v>
      </c>
      <c r="C1095" s="1">
        <v>53118.34</v>
      </c>
      <c r="D1095">
        <v>31</v>
      </c>
      <c r="E1095" s="1">
        <v>85711.11</v>
      </c>
      <c r="F1095" s="1">
        <v>138829.45000000001</v>
      </c>
    </row>
    <row r="1096" spans="1:6" x14ac:dyDescent="0.35">
      <c r="A1096">
        <v>201603</v>
      </c>
      <c r="B1096">
        <v>37</v>
      </c>
      <c r="C1096" s="1">
        <v>85338.87</v>
      </c>
      <c r="D1096">
        <v>19</v>
      </c>
      <c r="E1096" s="1">
        <v>53477.69</v>
      </c>
      <c r="F1096" s="1">
        <v>138816.56</v>
      </c>
    </row>
    <row r="1097" spans="1:6" x14ac:dyDescent="0.35">
      <c r="A1097">
        <v>200965</v>
      </c>
      <c r="B1097">
        <v>25</v>
      </c>
      <c r="C1097" s="1">
        <v>63603.25</v>
      </c>
      <c r="D1097">
        <v>28</v>
      </c>
      <c r="E1097" s="1">
        <v>75118.080000000002</v>
      </c>
      <c r="F1097" s="1">
        <v>138721.32999999999</v>
      </c>
    </row>
    <row r="1098" spans="1:6" x14ac:dyDescent="0.35">
      <c r="A1098">
        <v>201177</v>
      </c>
      <c r="B1098">
        <v>24</v>
      </c>
      <c r="C1098" s="1">
        <v>65700.179999999993</v>
      </c>
      <c r="D1098">
        <v>26</v>
      </c>
      <c r="E1098" s="1">
        <v>72999.320000000007</v>
      </c>
      <c r="F1098" s="1">
        <v>138699.5</v>
      </c>
    </row>
    <row r="1099" spans="1:6" x14ac:dyDescent="0.35">
      <c r="A1099">
        <v>201037</v>
      </c>
      <c r="B1099">
        <v>36</v>
      </c>
      <c r="C1099" s="1">
        <v>81555.78</v>
      </c>
      <c r="D1099">
        <v>25</v>
      </c>
      <c r="E1099" s="1">
        <v>57063.38</v>
      </c>
      <c r="F1099" s="1">
        <v>138619.16</v>
      </c>
    </row>
    <row r="1100" spans="1:6" x14ac:dyDescent="0.35">
      <c r="A1100">
        <v>200711</v>
      </c>
      <c r="B1100">
        <v>32</v>
      </c>
      <c r="C1100" s="1">
        <v>73964.36</v>
      </c>
      <c r="D1100">
        <v>22</v>
      </c>
      <c r="E1100" s="1">
        <v>64611.32</v>
      </c>
      <c r="F1100" s="1">
        <v>138575.67999999999</v>
      </c>
    </row>
    <row r="1101" spans="1:6" x14ac:dyDescent="0.35">
      <c r="A1101">
        <v>200541</v>
      </c>
      <c r="B1101">
        <v>31</v>
      </c>
      <c r="C1101" s="1">
        <v>77548.22</v>
      </c>
      <c r="D1101">
        <v>24</v>
      </c>
      <c r="E1101" s="1">
        <v>60931.14</v>
      </c>
      <c r="F1101" s="1">
        <v>138479.35999999999</v>
      </c>
    </row>
    <row r="1102" spans="1:6" x14ac:dyDescent="0.35">
      <c r="A1102">
        <v>200281</v>
      </c>
      <c r="B1102">
        <v>23</v>
      </c>
      <c r="C1102" s="1">
        <v>70111.88</v>
      </c>
      <c r="D1102">
        <v>30</v>
      </c>
      <c r="E1102" s="1">
        <v>68344.320000000007</v>
      </c>
      <c r="F1102" s="1">
        <v>138456.20000000001</v>
      </c>
    </row>
    <row r="1103" spans="1:6" x14ac:dyDescent="0.35">
      <c r="A1103">
        <v>200737</v>
      </c>
      <c r="B1103">
        <v>24</v>
      </c>
      <c r="C1103" s="1">
        <v>57668.78</v>
      </c>
      <c r="D1103">
        <v>31</v>
      </c>
      <c r="E1103" s="1">
        <v>80779.22</v>
      </c>
      <c r="F1103" s="1">
        <v>138448</v>
      </c>
    </row>
    <row r="1104" spans="1:6" x14ac:dyDescent="0.35">
      <c r="A1104">
        <v>200953</v>
      </c>
      <c r="B1104">
        <v>19</v>
      </c>
      <c r="C1104" s="1">
        <v>49795.69</v>
      </c>
      <c r="D1104">
        <v>31</v>
      </c>
      <c r="E1104" s="1">
        <v>88650.6</v>
      </c>
      <c r="F1104" s="1">
        <v>138446.29</v>
      </c>
    </row>
    <row r="1105" spans="1:6" x14ac:dyDescent="0.35">
      <c r="A1105">
        <v>201050</v>
      </c>
      <c r="B1105">
        <v>30</v>
      </c>
      <c r="C1105" s="1">
        <v>82785.63</v>
      </c>
      <c r="D1105">
        <v>21</v>
      </c>
      <c r="E1105" s="1">
        <v>55569.16</v>
      </c>
      <c r="F1105" s="1">
        <v>138354.79</v>
      </c>
    </row>
    <row r="1106" spans="1:6" x14ac:dyDescent="0.35">
      <c r="A1106">
        <v>201073</v>
      </c>
      <c r="B1106">
        <v>32</v>
      </c>
      <c r="C1106" s="1">
        <v>94351.12</v>
      </c>
      <c r="D1106">
        <v>21</v>
      </c>
      <c r="E1106" s="1">
        <v>43880.03</v>
      </c>
      <c r="F1106" s="1">
        <v>138231.15</v>
      </c>
    </row>
    <row r="1107" spans="1:6" x14ac:dyDescent="0.35">
      <c r="A1107">
        <v>200010</v>
      </c>
      <c r="B1107">
        <v>22</v>
      </c>
      <c r="C1107" s="1">
        <v>60158.57</v>
      </c>
      <c r="D1107">
        <v>34</v>
      </c>
      <c r="E1107" s="1">
        <v>78030.679999999993</v>
      </c>
      <c r="F1107" s="1">
        <v>138189.25</v>
      </c>
    </row>
    <row r="1108" spans="1:6" x14ac:dyDescent="0.35">
      <c r="A1108">
        <v>200500</v>
      </c>
      <c r="B1108">
        <v>28</v>
      </c>
      <c r="C1108" s="1">
        <v>58138.25</v>
      </c>
      <c r="D1108">
        <v>29</v>
      </c>
      <c r="E1108" s="1">
        <v>79996.27</v>
      </c>
      <c r="F1108" s="1">
        <v>138134.51999999999</v>
      </c>
    </row>
    <row r="1109" spans="1:6" x14ac:dyDescent="0.35">
      <c r="A1109">
        <v>201071</v>
      </c>
      <c r="B1109">
        <v>27</v>
      </c>
      <c r="C1109" s="1">
        <v>62703.63</v>
      </c>
      <c r="D1109">
        <v>32</v>
      </c>
      <c r="E1109" s="1">
        <v>75420.02</v>
      </c>
      <c r="F1109" s="1">
        <v>138123.65</v>
      </c>
    </row>
    <row r="1110" spans="1:6" x14ac:dyDescent="0.35">
      <c r="A1110">
        <v>200525</v>
      </c>
      <c r="B1110">
        <v>27</v>
      </c>
      <c r="C1110" s="1">
        <v>55133.89</v>
      </c>
      <c r="D1110">
        <v>32</v>
      </c>
      <c r="E1110" s="1">
        <v>82970.58</v>
      </c>
      <c r="F1110" s="1">
        <v>138104.47</v>
      </c>
    </row>
    <row r="1111" spans="1:6" x14ac:dyDescent="0.35">
      <c r="A1111">
        <v>200369</v>
      </c>
      <c r="B1111">
        <v>30</v>
      </c>
      <c r="C1111" s="1">
        <v>67191.25</v>
      </c>
      <c r="D1111">
        <v>28</v>
      </c>
      <c r="E1111" s="1">
        <v>70902.06</v>
      </c>
      <c r="F1111" s="1">
        <v>138093.31</v>
      </c>
    </row>
    <row r="1112" spans="1:6" x14ac:dyDescent="0.35">
      <c r="A1112">
        <v>201045</v>
      </c>
      <c r="B1112">
        <v>29</v>
      </c>
      <c r="C1112" s="1">
        <v>70641.55</v>
      </c>
      <c r="D1112">
        <v>28</v>
      </c>
      <c r="E1112" s="1">
        <v>67437.16</v>
      </c>
      <c r="F1112" s="1">
        <v>138078.71</v>
      </c>
    </row>
    <row r="1113" spans="1:6" x14ac:dyDescent="0.35">
      <c r="A1113">
        <v>200268</v>
      </c>
      <c r="B1113">
        <v>22</v>
      </c>
      <c r="C1113" s="1">
        <v>60823.78</v>
      </c>
      <c r="D1113">
        <v>29</v>
      </c>
      <c r="E1113" s="1">
        <v>77247.7</v>
      </c>
      <c r="F1113" s="1">
        <v>138071.47999999899</v>
      </c>
    </row>
    <row r="1114" spans="1:6" x14ac:dyDescent="0.35">
      <c r="A1114">
        <v>200328</v>
      </c>
      <c r="B1114">
        <v>25</v>
      </c>
      <c r="C1114" s="1">
        <v>63936.85</v>
      </c>
      <c r="D1114">
        <v>32</v>
      </c>
      <c r="E1114" s="1">
        <v>74097.429999999993</v>
      </c>
      <c r="F1114" s="1">
        <v>138034.28</v>
      </c>
    </row>
    <row r="1115" spans="1:6" x14ac:dyDescent="0.35">
      <c r="A1115">
        <v>201609</v>
      </c>
      <c r="B1115">
        <v>21</v>
      </c>
      <c r="C1115" s="1">
        <v>65484.52</v>
      </c>
      <c r="D1115">
        <v>33</v>
      </c>
      <c r="E1115" s="1">
        <v>72534.77</v>
      </c>
      <c r="F1115" s="1">
        <v>138019.29</v>
      </c>
    </row>
    <row r="1116" spans="1:6" x14ac:dyDescent="0.35">
      <c r="A1116">
        <v>201009</v>
      </c>
      <c r="B1116">
        <v>31</v>
      </c>
      <c r="C1116" s="1">
        <v>76568.649999999994</v>
      </c>
      <c r="D1116">
        <v>24</v>
      </c>
      <c r="E1116" s="1">
        <v>61435.15</v>
      </c>
      <c r="F1116" s="1">
        <v>138003.79999999999</v>
      </c>
    </row>
    <row r="1117" spans="1:6" x14ac:dyDescent="0.35">
      <c r="A1117">
        <v>201068</v>
      </c>
      <c r="B1117">
        <v>31</v>
      </c>
      <c r="C1117" s="1">
        <v>76580.31</v>
      </c>
      <c r="D1117">
        <v>24</v>
      </c>
      <c r="E1117" s="1">
        <v>61348.05</v>
      </c>
      <c r="F1117" s="1">
        <v>137928.35999999999</v>
      </c>
    </row>
    <row r="1118" spans="1:6" x14ac:dyDescent="0.35">
      <c r="A1118">
        <v>201295</v>
      </c>
      <c r="B1118">
        <v>21</v>
      </c>
      <c r="C1118" s="1">
        <v>49282.61</v>
      </c>
      <c r="D1118">
        <v>34</v>
      </c>
      <c r="E1118" s="1">
        <v>88644.01</v>
      </c>
      <c r="F1118" s="1">
        <v>137926.62</v>
      </c>
    </row>
    <row r="1119" spans="1:6" x14ac:dyDescent="0.35">
      <c r="A1119">
        <v>200081</v>
      </c>
      <c r="B1119">
        <v>25</v>
      </c>
      <c r="C1119" s="1">
        <v>63207.360000000001</v>
      </c>
      <c r="D1119">
        <v>25</v>
      </c>
      <c r="E1119" s="1">
        <v>74685.53</v>
      </c>
      <c r="F1119" s="1">
        <v>137892.89000000001</v>
      </c>
    </row>
    <row r="1120" spans="1:6" x14ac:dyDescent="0.35">
      <c r="A1120">
        <v>201281</v>
      </c>
      <c r="B1120">
        <v>30</v>
      </c>
      <c r="C1120" s="1">
        <v>74709.2</v>
      </c>
      <c r="D1120">
        <v>24</v>
      </c>
      <c r="E1120" s="1">
        <v>63080.88</v>
      </c>
      <c r="F1120" s="1">
        <v>137790.07999999999</v>
      </c>
    </row>
    <row r="1121" spans="1:6" x14ac:dyDescent="0.35">
      <c r="A1121">
        <v>200341</v>
      </c>
      <c r="B1121">
        <v>32</v>
      </c>
      <c r="C1121" s="1">
        <v>78673.27</v>
      </c>
      <c r="D1121">
        <v>27</v>
      </c>
      <c r="E1121" s="1">
        <v>59093.08</v>
      </c>
      <c r="F1121" s="1">
        <v>137766.35</v>
      </c>
    </row>
    <row r="1122" spans="1:6" x14ac:dyDescent="0.35">
      <c r="A1122">
        <v>201565</v>
      </c>
      <c r="B1122">
        <v>21</v>
      </c>
      <c r="C1122" s="1">
        <v>47642.28</v>
      </c>
      <c r="D1122">
        <v>31</v>
      </c>
      <c r="E1122" s="1">
        <v>90106.3</v>
      </c>
      <c r="F1122" s="1">
        <v>137748.57999999999</v>
      </c>
    </row>
    <row r="1123" spans="1:6" x14ac:dyDescent="0.35">
      <c r="A1123">
        <v>200886</v>
      </c>
      <c r="B1123">
        <v>23</v>
      </c>
      <c r="C1123" s="1">
        <v>55628.49</v>
      </c>
      <c r="D1123">
        <v>34</v>
      </c>
      <c r="E1123" s="1">
        <v>82118.83</v>
      </c>
      <c r="F1123" s="1">
        <v>137747.32</v>
      </c>
    </row>
    <row r="1124" spans="1:6" x14ac:dyDescent="0.35">
      <c r="A1124">
        <v>201136</v>
      </c>
      <c r="B1124">
        <v>31</v>
      </c>
      <c r="C1124" s="1">
        <v>85297.51</v>
      </c>
      <c r="D1124">
        <v>26</v>
      </c>
      <c r="E1124" s="1">
        <v>52392.19</v>
      </c>
      <c r="F1124" s="1">
        <v>137689.70000000001</v>
      </c>
    </row>
    <row r="1125" spans="1:6" x14ac:dyDescent="0.35">
      <c r="A1125">
        <v>200445</v>
      </c>
      <c r="B1125">
        <v>24</v>
      </c>
      <c r="C1125" s="1">
        <v>62973.89</v>
      </c>
      <c r="D1125">
        <v>31</v>
      </c>
      <c r="E1125" s="1">
        <v>74707.570000000007</v>
      </c>
      <c r="F1125" s="1">
        <v>137681.46</v>
      </c>
    </row>
    <row r="1126" spans="1:6" x14ac:dyDescent="0.35">
      <c r="A1126">
        <v>200992</v>
      </c>
      <c r="B1126">
        <v>29</v>
      </c>
      <c r="C1126" s="1">
        <v>74549.55</v>
      </c>
      <c r="D1126">
        <v>24</v>
      </c>
      <c r="E1126" s="1">
        <v>63031.05</v>
      </c>
      <c r="F1126" s="1">
        <v>137580.6</v>
      </c>
    </row>
    <row r="1127" spans="1:6" x14ac:dyDescent="0.35">
      <c r="A1127">
        <v>200993</v>
      </c>
      <c r="B1127">
        <v>28</v>
      </c>
      <c r="C1127" s="1">
        <v>71114.559999999998</v>
      </c>
      <c r="D1127">
        <v>28</v>
      </c>
      <c r="E1127" s="1">
        <v>66360.02</v>
      </c>
      <c r="F1127" s="1">
        <v>137474.57999999999</v>
      </c>
    </row>
    <row r="1128" spans="1:6" x14ac:dyDescent="0.35">
      <c r="A1128">
        <v>200499</v>
      </c>
      <c r="B1128">
        <v>27</v>
      </c>
      <c r="C1128" s="1">
        <v>73080.11</v>
      </c>
      <c r="D1128">
        <v>24</v>
      </c>
      <c r="E1128" s="1">
        <v>64381.86</v>
      </c>
      <c r="F1128" s="1">
        <v>137461.97</v>
      </c>
    </row>
    <row r="1129" spans="1:6" x14ac:dyDescent="0.35">
      <c r="A1129">
        <v>200456</v>
      </c>
      <c r="B1129">
        <v>32</v>
      </c>
      <c r="C1129" s="1">
        <v>84803.86</v>
      </c>
      <c r="D1129">
        <v>22</v>
      </c>
      <c r="E1129" s="1">
        <v>52627.67</v>
      </c>
      <c r="F1129" s="1">
        <v>137431.53</v>
      </c>
    </row>
    <row r="1130" spans="1:6" x14ac:dyDescent="0.35">
      <c r="A1130">
        <v>200848</v>
      </c>
      <c r="B1130">
        <v>32</v>
      </c>
      <c r="C1130" s="1">
        <v>79987.11</v>
      </c>
      <c r="D1130">
        <v>28</v>
      </c>
      <c r="E1130" s="1">
        <v>57396.88</v>
      </c>
      <c r="F1130" s="1">
        <v>137383.99</v>
      </c>
    </row>
    <row r="1131" spans="1:6" x14ac:dyDescent="0.35">
      <c r="A1131">
        <v>200574</v>
      </c>
      <c r="B1131">
        <v>29</v>
      </c>
      <c r="C1131" s="1">
        <v>77851.56</v>
      </c>
      <c r="D1131">
        <v>30</v>
      </c>
      <c r="E1131" s="1">
        <v>59480.01</v>
      </c>
      <c r="F1131" s="1">
        <v>137331.57</v>
      </c>
    </row>
    <row r="1132" spans="1:6" x14ac:dyDescent="0.35">
      <c r="A1132">
        <v>200855</v>
      </c>
      <c r="B1132">
        <v>27</v>
      </c>
      <c r="C1132" s="1">
        <v>64423.02</v>
      </c>
      <c r="D1132">
        <v>30</v>
      </c>
      <c r="E1132" s="1">
        <v>72871.7</v>
      </c>
      <c r="F1132" s="1">
        <v>137294.72</v>
      </c>
    </row>
    <row r="1133" spans="1:6" x14ac:dyDescent="0.35">
      <c r="A1133">
        <v>200203</v>
      </c>
      <c r="B1133">
        <v>33</v>
      </c>
      <c r="C1133" s="1">
        <v>78973.2</v>
      </c>
      <c r="D1133">
        <v>22</v>
      </c>
      <c r="E1133" s="1">
        <v>58299.77</v>
      </c>
      <c r="F1133" s="1">
        <v>137272.97</v>
      </c>
    </row>
    <row r="1134" spans="1:6" x14ac:dyDescent="0.35">
      <c r="A1134">
        <v>200083</v>
      </c>
      <c r="B1134">
        <v>27</v>
      </c>
      <c r="C1134" s="1">
        <v>67675.55</v>
      </c>
      <c r="D1134">
        <v>30</v>
      </c>
      <c r="E1134" s="1">
        <v>69595.199999999997</v>
      </c>
      <c r="F1134" s="1">
        <v>137270.75</v>
      </c>
    </row>
    <row r="1135" spans="1:6" x14ac:dyDescent="0.35">
      <c r="A1135">
        <v>200259</v>
      </c>
      <c r="B1135">
        <v>24</v>
      </c>
      <c r="C1135" s="1">
        <v>71017.850000000006</v>
      </c>
      <c r="D1135">
        <v>27</v>
      </c>
      <c r="E1135" s="1">
        <v>66223.86</v>
      </c>
      <c r="F1135" s="1">
        <v>137241.71</v>
      </c>
    </row>
    <row r="1136" spans="1:6" x14ac:dyDescent="0.35">
      <c r="A1136">
        <v>200198</v>
      </c>
      <c r="B1136">
        <v>23</v>
      </c>
      <c r="C1136" s="1">
        <v>65312.5</v>
      </c>
      <c r="D1136">
        <v>34</v>
      </c>
      <c r="E1136" s="1">
        <v>71925.039999999994</v>
      </c>
      <c r="F1136" s="1">
        <v>137237.53999999899</v>
      </c>
    </row>
    <row r="1137" spans="1:6" x14ac:dyDescent="0.35">
      <c r="A1137">
        <v>200424</v>
      </c>
      <c r="B1137">
        <v>26</v>
      </c>
      <c r="C1137" s="1">
        <v>45172.09</v>
      </c>
      <c r="D1137">
        <v>37</v>
      </c>
      <c r="E1137" s="1">
        <v>92045.82</v>
      </c>
      <c r="F1137" s="1">
        <v>137217.91</v>
      </c>
    </row>
    <row r="1138" spans="1:6" x14ac:dyDescent="0.35">
      <c r="A1138">
        <v>201075</v>
      </c>
      <c r="B1138">
        <v>26</v>
      </c>
      <c r="C1138" s="1">
        <v>71414.2</v>
      </c>
      <c r="D1138">
        <v>27</v>
      </c>
      <c r="E1138" s="1">
        <v>65784.23</v>
      </c>
      <c r="F1138" s="1">
        <v>137198.43</v>
      </c>
    </row>
    <row r="1139" spans="1:6" x14ac:dyDescent="0.35">
      <c r="A1139">
        <v>200343</v>
      </c>
      <c r="B1139">
        <v>21</v>
      </c>
      <c r="C1139" s="1">
        <v>58535.75</v>
      </c>
      <c r="D1139">
        <v>31</v>
      </c>
      <c r="E1139" s="1">
        <v>78501.64</v>
      </c>
      <c r="F1139" s="1">
        <v>137037.39000000001</v>
      </c>
    </row>
    <row r="1140" spans="1:6" x14ac:dyDescent="0.35">
      <c r="A1140">
        <v>200806</v>
      </c>
      <c r="B1140">
        <v>31</v>
      </c>
      <c r="C1140" s="1">
        <v>74460.350000000006</v>
      </c>
      <c r="D1140">
        <v>26</v>
      </c>
      <c r="E1140" s="1">
        <v>62576.4</v>
      </c>
      <c r="F1140" s="1">
        <v>137036.75</v>
      </c>
    </row>
    <row r="1141" spans="1:6" x14ac:dyDescent="0.35">
      <c r="A1141">
        <v>200904</v>
      </c>
      <c r="B1141">
        <v>23</v>
      </c>
      <c r="C1141" s="1">
        <v>64206.57</v>
      </c>
      <c r="D1141">
        <v>31</v>
      </c>
      <c r="E1141" s="1">
        <v>72801.070000000007</v>
      </c>
      <c r="F1141" s="1">
        <v>137007.64000000001</v>
      </c>
    </row>
    <row r="1142" spans="1:6" x14ac:dyDescent="0.35">
      <c r="A1142">
        <v>200820</v>
      </c>
      <c r="B1142">
        <v>33</v>
      </c>
      <c r="C1142" s="1">
        <v>65681</v>
      </c>
      <c r="D1142">
        <v>26</v>
      </c>
      <c r="E1142" s="1">
        <v>71277.58</v>
      </c>
      <c r="F1142" s="1">
        <v>136958.57999999999</v>
      </c>
    </row>
    <row r="1143" spans="1:6" x14ac:dyDescent="0.35">
      <c r="A1143">
        <v>201612</v>
      </c>
      <c r="B1143">
        <v>25</v>
      </c>
      <c r="C1143" s="1">
        <v>60269.37</v>
      </c>
      <c r="D1143">
        <v>31</v>
      </c>
      <c r="E1143" s="1">
        <v>76673.429999999993</v>
      </c>
      <c r="F1143" s="1">
        <v>136942.79999999999</v>
      </c>
    </row>
    <row r="1144" spans="1:6" x14ac:dyDescent="0.35">
      <c r="A1144">
        <v>200945</v>
      </c>
      <c r="B1144">
        <v>20</v>
      </c>
      <c r="C1144" s="1">
        <v>65953.7</v>
      </c>
      <c r="D1144">
        <v>24</v>
      </c>
      <c r="E1144" s="1">
        <v>70952.070000000007</v>
      </c>
      <c r="F1144" s="1">
        <v>136905.76999999999</v>
      </c>
    </row>
    <row r="1145" spans="1:6" x14ac:dyDescent="0.35">
      <c r="A1145">
        <v>201411</v>
      </c>
      <c r="B1145">
        <v>26</v>
      </c>
      <c r="C1145" s="1">
        <v>60789.94</v>
      </c>
      <c r="D1145">
        <v>30</v>
      </c>
      <c r="E1145" s="1">
        <v>76111.92</v>
      </c>
      <c r="F1145" s="1">
        <v>136901.85999999999</v>
      </c>
    </row>
    <row r="1146" spans="1:6" x14ac:dyDescent="0.35">
      <c r="A1146">
        <v>201606</v>
      </c>
      <c r="B1146">
        <v>28</v>
      </c>
      <c r="C1146" s="1">
        <v>64983.67</v>
      </c>
      <c r="D1146">
        <v>28</v>
      </c>
      <c r="E1146" s="1">
        <v>71808.710000000006</v>
      </c>
      <c r="F1146" s="1">
        <v>136792.38</v>
      </c>
    </row>
    <row r="1147" spans="1:6" x14ac:dyDescent="0.35">
      <c r="A1147">
        <v>200538</v>
      </c>
      <c r="B1147">
        <v>34</v>
      </c>
      <c r="C1147" s="1">
        <v>74649.55</v>
      </c>
      <c r="D1147">
        <v>31</v>
      </c>
      <c r="E1147" s="1">
        <v>62130.09</v>
      </c>
      <c r="F1147" s="1">
        <v>136779.64000000001</v>
      </c>
    </row>
    <row r="1148" spans="1:6" x14ac:dyDescent="0.35">
      <c r="A1148">
        <v>200833</v>
      </c>
      <c r="B1148">
        <v>24</v>
      </c>
      <c r="C1148" s="1">
        <v>60956.21</v>
      </c>
      <c r="D1148">
        <v>31</v>
      </c>
      <c r="E1148" s="1">
        <v>75761.11</v>
      </c>
      <c r="F1148" s="1">
        <v>136717.32</v>
      </c>
    </row>
    <row r="1149" spans="1:6" x14ac:dyDescent="0.35">
      <c r="A1149">
        <v>201084</v>
      </c>
      <c r="B1149">
        <v>25</v>
      </c>
      <c r="C1149" s="1">
        <v>59494</v>
      </c>
      <c r="D1149">
        <v>29</v>
      </c>
      <c r="E1149" s="1">
        <v>77218.77</v>
      </c>
      <c r="F1149" s="1">
        <v>136712.76999999999</v>
      </c>
    </row>
    <row r="1150" spans="1:6" x14ac:dyDescent="0.35">
      <c r="A1150">
        <v>201418</v>
      </c>
      <c r="B1150">
        <v>31</v>
      </c>
      <c r="C1150" s="1">
        <v>83981.8</v>
      </c>
      <c r="D1150">
        <v>21</v>
      </c>
      <c r="E1150" s="1">
        <v>52704.51</v>
      </c>
      <c r="F1150" s="1">
        <v>136686.31</v>
      </c>
    </row>
    <row r="1151" spans="1:6" x14ac:dyDescent="0.35">
      <c r="A1151">
        <v>201178</v>
      </c>
      <c r="B1151">
        <v>25</v>
      </c>
      <c r="C1151" s="1">
        <v>64984.2</v>
      </c>
      <c r="D1151">
        <v>33</v>
      </c>
      <c r="E1151" s="1">
        <v>71685.3</v>
      </c>
      <c r="F1151" s="1">
        <v>136669.5</v>
      </c>
    </row>
    <row r="1152" spans="1:6" x14ac:dyDescent="0.35">
      <c r="A1152">
        <v>201159</v>
      </c>
      <c r="B1152">
        <v>25</v>
      </c>
      <c r="C1152" s="1">
        <v>58490.17</v>
      </c>
      <c r="D1152">
        <v>28</v>
      </c>
      <c r="E1152" s="1">
        <v>78129.08</v>
      </c>
      <c r="F1152" s="1">
        <v>136619.25</v>
      </c>
    </row>
    <row r="1153" spans="1:6" x14ac:dyDescent="0.35">
      <c r="A1153">
        <v>200808</v>
      </c>
      <c r="B1153">
        <v>35</v>
      </c>
      <c r="C1153" s="1">
        <v>78128.97</v>
      </c>
      <c r="D1153">
        <v>26</v>
      </c>
      <c r="E1153" s="1">
        <v>58438.29</v>
      </c>
      <c r="F1153" s="1">
        <v>136567.26</v>
      </c>
    </row>
    <row r="1154" spans="1:6" x14ac:dyDescent="0.35">
      <c r="A1154">
        <v>200497</v>
      </c>
      <c r="B1154">
        <v>27</v>
      </c>
      <c r="C1154" s="1">
        <v>61492.18</v>
      </c>
      <c r="D1154">
        <v>30</v>
      </c>
      <c r="E1154" s="1">
        <v>75060.2</v>
      </c>
      <c r="F1154" s="1">
        <v>136552.38</v>
      </c>
    </row>
    <row r="1155" spans="1:6" x14ac:dyDescent="0.35">
      <c r="A1155">
        <v>201587</v>
      </c>
      <c r="B1155">
        <v>27</v>
      </c>
      <c r="C1155" s="1">
        <v>57073.53</v>
      </c>
      <c r="D1155">
        <v>32</v>
      </c>
      <c r="E1155" s="1">
        <v>79457.55</v>
      </c>
      <c r="F1155" s="1">
        <v>136531.07999999999</v>
      </c>
    </row>
    <row r="1156" spans="1:6" x14ac:dyDescent="0.35">
      <c r="A1156">
        <v>201018</v>
      </c>
      <c r="B1156">
        <v>26</v>
      </c>
      <c r="C1156" s="1">
        <v>75286.009999999995</v>
      </c>
      <c r="D1156">
        <v>26</v>
      </c>
      <c r="E1156" s="1">
        <v>61243.29</v>
      </c>
      <c r="F1156" s="1">
        <v>136529.29999999999</v>
      </c>
    </row>
    <row r="1157" spans="1:6" x14ac:dyDescent="0.35">
      <c r="A1157">
        <v>201187</v>
      </c>
      <c r="B1157">
        <v>29</v>
      </c>
      <c r="C1157" s="1">
        <v>63490.52</v>
      </c>
      <c r="D1157">
        <v>32</v>
      </c>
      <c r="E1157" s="1">
        <v>73011.42</v>
      </c>
      <c r="F1157" s="1">
        <v>136501.94</v>
      </c>
    </row>
    <row r="1158" spans="1:6" x14ac:dyDescent="0.35">
      <c r="A1158">
        <v>200545</v>
      </c>
      <c r="B1158">
        <v>23</v>
      </c>
      <c r="C1158" s="1">
        <v>61214.23</v>
      </c>
      <c r="D1158">
        <v>30</v>
      </c>
      <c r="E1158" s="1">
        <v>75287.11</v>
      </c>
      <c r="F1158" s="1">
        <v>136501.34</v>
      </c>
    </row>
    <row r="1159" spans="1:6" x14ac:dyDescent="0.35">
      <c r="A1159">
        <v>201458</v>
      </c>
      <c r="B1159">
        <v>27</v>
      </c>
      <c r="C1159" s="1">
        <v>62210.22</v>
      </c>
      <c r="D1159">
        <v>30</v>
      </c>
      <c r="E1159" s="1">
        <v>74271.66</v>
      </c>
      <c r="F1159" s="1">
        <v>136481.88</v>
      </c>
    </row>
    <row r="1160" spans="1:6" x14ac:dyDescent="0.35">
      <c r="A1160">
        <v>200095</v>
      </c>
      <c r="B1160">
        <v>38</v>
      </c>
      <c r="C1160" s="1">
        <v>76825.25</v>
      </c>
      <c r="D1160">
        <v>22</v>
      </c>
      <c r="E1160" s="1">
        <v>59635.040000000001</v>
      </c>
      <c r="F1160" s="1">
        <v>136460.29</v>
      </c>
    </row>
    <row r="1161" spans="1:6" x14ac:dyDescent="0.35">
      <c r="A1161">
        <v>200162</v>
      </c>
      <c r="B1161">
        <v>36</v>
      </c>
      <c r="C1161" s="1">
        <v>68988.88</v>
      </c>
      <c r="D1161">
        <v>28</v>
      </c>
      <c r="E1161" s="1">
        <v>67419.89</v>
      </c>
      <c r="F1161" s="1">
        <v>136408.76999999999</v>
      </c>
    </row>
    <row r="1162" spans="1:6" x14ac:dyDescent="0.35">
      <c r="A1162">
        <v>200324</v>
      </c>
      <c r="B1162">
        <v>27</v>
      </c>
      <c r="C1162" s="1">
        <v>67205.61</v>
      </c>
      <c r="D1162">
        <v>26</v>
      </c>
      <c r="E1162" s="1">
        <v>69180.05</v>
      </c>
      <c r="F1162" s="1">
        <v>136385.66</v>
      </c>
    </row>
    <row r="1163" spans="1:6" x14ac:dyDescent="0.35">
      <c r="A1163">
        <v>200895</v>
      </c>
      <c r="B1163">
        <v>31</v>
      </c>
      <c r="C1163" s="1">
        <v>83703.399999999994</v>
      </c>
      <c r="D1163">
        <v>19</v>
      </c>
      <c r="E1163" s="1">
        <v>52626.32</v>
      </c>
      <c r="F1163" s="1">
        <v>136329.72</v>
      </c>
    </row>
    <row r="1164" spans="1:6" x14ac:dyDescent="0.35">
      <c r="A1164">
        <v>201113</v>
      </c>
      <c r="B1164">
        <v>27</v>
      </c>
      <c r="C1164" s="1">
        <v>68392.86</v>
      </c>
      <c r="D1164">
        <v>26</v>
      </c>
      <c r="E1164" s="1">
        <v>67923.92</v>
      </c>
      <c r="F1164" s="1">
        <v>136316.78</v>
      </c>
    </row>
    <row r="1165" spans="1:6" x14ac:dyDescent="0.35">
      <c r="A1165">
        <v>201530</v>
      </c>
      <c r="B1165">
        <v>27</v>
      </c>
      <c r="C1165" s="1">
        <v>54972.88</v>
      </c>
      <c r="D1165">
        <v>38</v>
      </c>
      <c r="E1165" s="1">
        <v>81206.509999999995</v>
      </c>
      <c r="F1165" s="1">
        <v>136179.389999999</v>
      </c>
    </row>
    <row r="1166" spans="1:6" x14ac:dyDescent="0.35">
      <c r="A1166">
        <v>201649</v>
      </c>
      <c r="B1166">
        <v>25</v>
      </c>
      <c r="C1166" s="1">
        <v>72157.86</v>
      </c>
      <c r="D1166">
        <v>28</v>
      </c>
      <c r="E1166" s="1">
        <v>63965.49</v>
      </c>
      <c r="F1166" s="1">
        <v>136123.35</v>
      </c>
    </row>
    <row r="1167" spans="1:6" x14ac:dyDescent="0.35">
      <c r="A1167">
        <v>201261</v>
      </c>
      <c r="B1167">
        <v>23</v>
      </c>
      <c r="C1167" s="1">
        <v>60055.23</v>
      </c>
      <c r="D1167">
        <v>31</v>
      </c>
      <c r="E1167" s="1">
        <v>75997.179999999993</v>
      </c>
      <c r="F1167" s="1">
        <v>136052.41</v>
      </c>
    </row>
    <row r="1168" spans="1:6" x14ac:dyDescent="0.35">
      <c r="A1168">
        <v>201390</v>
      </c>
      <c r="B1168">
        <v>31</v>
      </c>
      <c r="C1168" s="1">
        <v>76001.86</v>
      </c>
      <c r="D1168">
        <v>26</v>
      </c>
      <c r="E1168" s="1">
        <v>60022.080000000002</v>
      </c>
      <c r="F1168" s="1">
        <v>136023.94</v>
      </c>
    </row>
    <row r="1169" spans="1:6" x14ac:dyDescent="0.35">
      <c r="A1169">
        <v>200789</v>
      </c>
      <c r="B1169">
        <v>28</v>
      </c>
      <c r="C1169" s="1">
        <v>57983.98</v>
      </c>
      <c r="D1169">
        <v>31</v>
      </c>
      <c r="E1169" s="1">
        <v>78038.61</v>
      </c>
      <c r="F1169" s="1">
        <v>136022.59</v>
      </c>
    </row>
    <row r="1170" spans="1:6" x14ac:dyDescent="0.35">
      <c r="A1170">
        <v>201138</v>
      </c>
      <c r="B1170">
        <v>28</v>
      </c>
      <c r="C1170" s="1">
        <v>83068.14</v>
      </c>
      <c r="D1170">
        <v>24</v>
      </c>
      <c r="E1170" s="1">
        <v>52925.96</v>
      </c>
      <c r="F1170" s="1">
        <v>135994.1</v>
      </c>
    </row>
    <row r="1171" spans="1:6" x14ac:dyDescent="0.35">
      <c r="A1171">
        <v>200718</v>
      </c>
      <c r="B1171">
        <v>30</v>
      </c>
      <c r="C1171" s="1">
        <v>76444.97</v>
      </c>
      <c r="D1171">
        <v>20</v>
      </c>
      <c r="E1171" s="1">
        <v>59518.95</v>
      </c>
      <c r="F1171" s="1">
        <v>135963.91999999899</v>
      </c>
    </row>
    <row r="1172" spans="1:6" x14ac:dyDescent="0.35">
      <c r="A1172">
        <v>200015</v>
      </c>
      <c r="B1172">
        <v>23</v>
      </c>
      <c r="C1172" s="1">
        <v>59013.24</v>
      </c>
      <c r="D1172">
        <v>27</v>
      </c>
      <c r="E1172" s="1">
        <v>76944.47</v>
      </c>
      <c r="F1172" s="1">
        <v>135957.71</v>
      </c>
    </row>
    <row r="1173" spans="1:6" x14ac:dyDescent="0.35">
      <c r="A1173">
        <v>201578</v>
      </c>
      <c r="B1173">
        <v>28</v>
      </c>
      <c r="C1173" s="1">
        <v>61542.17</v>
      </c>
      <c r="D1173">
        <v>32</v>
      </c>
      <c r="E1173" s="1">
        <v>74391.199999999997</v>
      </c>
      <c r="F1173" s="1">
        <v>135933.37</v>
      </c>
    </row>
    <row r="1174" spans="1:6" x14ac:dyDescent="0.35">
      <c r="A1174">
        <v>200255</v>
      </c>
      <c r="B1174">
        <v>26</v>
      </c>
      <c r="C1174" s="1">
        <v>67434.3</v>
      </c>
      <c r="D1174">
        <v>26</v>
      </c>
      <c r="E1174" s="1">
        <v>68496.62</v>
      </c>
      <c r="F1174" s="1">
        <v>135930.91999999899</v>
      </c>
    </row>
    <row r="1175" spans="1:6" x14ac:dyDescent="0.35">
      <c r="A1175">
        <v>201412</v>
      </c>
      <c r="B1175">
        <v>23</v>
      </c>
      <c r="C1175" s="1">
        <v>55424.13</v>
      </c>
      <c r="D1175">
        <v>29</v>
      </c>
      <c r="E1175" s="1">
        <v>80458.820000000007</v>
      </c>
      <c r="F1175" s="1">
        <v>135882.95000000001</v>
      </c>
    </row>
    <row r="1176" spans="1:6" x14ac:dyDescent="0.35">
      <c r="A1176">
        <v>200169</v>
      </c>
      <c r="B1176">
        <v>27</v>
      </c>
      <c r="C1176" s="1">
        <v>64050.67</v>
      </c>
      <c r="D1176">
        <v>29</v>
      </c>
      <c r="E1176" s="1">
        <v>71825.13</v>
      </c>
      <c r="F1176" s="1">
        <v>135875.79999999999</v>
      </c>
    </row>
    <row r="1177" spans="1:6" x14ac:dyDescent="0.35">
      <c r="A1177">
        <v>200537</v>
      </c>
      <c r="B1177">
        <v>29</v>
      </c>
      <c r="C1177" s="1">
        <v>60110.09</v>
      </c>
      <c r="D1177">
        <v>29</v>
      </c>
      <c r="E1177" s="1">
        <v>75695.78</v>
      </c>
      <c r="F1177" s="1">
        <v>135805.87</v>
      </c>
    </row>
    <row r="1178" spans="1:6" x14ac:dyDescent="0.35">
      <c r="A1178">
        <v>200529</v>
      </c>
      <c r="B1178">
        <v>26</v>
      </c>
      <c r="C1178" s="1">
        <v>68827.92</v>
      </c>
      <c r="D1178">
        <v>27</v>
      </c>
      <c r="E1178" s="1">
        <v>66970.92</v>
      </c>
      <c r="F1178" s="1">
        <v>135798.84</v>
      </c>
    </row>
    <row r="1179" spans="1:6" x14ac:dyDescent="0.35">
      <c r="A1179">
        <v>200968</v>
      </c>
      <c r="B1179">
        <v>25</v>
      </c>
      <c r="C1179" s="1">
        <v>57333.54</v>
      </c>
      <c r="D1179">
        <v>28</v>
      </c>
      <c r="E1179" s="1">
        <v>78464.75</v>
      </c>
      <c r="F1179" s="1">
        <v>135798.29</v>
      </c>
    </row>
    <row r="1180" spans="1:6" x14ac:dyDescent="0.35">
      <c r="A1180">
        <v>201215</v>
      </c>
      <c r="B1180">
        <v>27</v>
      </c>
      <c r="C1180" s="1">
        <v>61894.65</v>
      </c>
      <c r="D1180">
        <v>28</v>
      </c>
      <c r="E1180" s="1">
        <v>73791.63</v>
      </c>
      <c r="F1180" s="1">
        <v>135686.28</v>
      </c>
    </row>
    <row r="1181" spans="1:6" x14ac:dyDescent="0.35">
      <c r="A1181">
        <v>200401</v>
      </c>
      <c r="B1181">
        <v>31</v>
      </c>
      <c r="C1181" s="1">
        <v>79757.67</v>
      </c>
      <c r="D1181">
        <v>19</v>
      </c>
      <c r="E1181" s="1">
        <v>55922.07</v>
      </c>
      <c r="F1181" s="1">
        <v>135679.74</v>
      </c>
    </row>
    <row r="1182" spans="1:6" x14ac:dyDescent="0.35">
      <c r="A1182">
        <v>201125</v>
      </c>
      <c r="B1182">
        <v>28</v>
      </c>
      <c r="C1182" s="1">
        <v>67786.83</v>
      </c>
      <c r="D1182">
        <v>27</v>
      </c>
      <c r="E1182" s="1">
        <v>67876.19</v>
      </c>
      <c r="F1182" s="1">
        <v>135663.01999999999</v>
      </c>
    </row>
    <row r="1183" spans="1:6" x14ac:dyDescent="0.35">
      <c r="A1183">
        <v>200571</v>
      </c>
      <c r="B1183">
        <v>26</v>
      </c>
      <c r="C1183" s="1">
        <v>68359.37</v>
      </c>
      <c r="D1183">
        <v>30</v>
      </c>
      <c r="E1183" s="1">
        <v>67257.710000000006</v>
      </c>
      <c r="F1183" s="1">
        <v>135617.07999999999</v>
      </c>
    </row>
    <row r="1184" spans="1:6" x14ac:dyDescent="0.35">
      <c r="A1184">
        <v>200710</v>
      </c>
      <c r="B1184">
        <v>27</v>
      </c>
      <c r="C1184" s="1">
        <v>70949.52</v>
      </c>
      <c r="D1184">
        <v>25</v>
      </c>
      <c r="E1184" s="1">
        <v>64637.41</v>
      </c>
      <c r="F1184" s="1">
        <v>135586.93</v>
      </c>
    </row>
    <row r="1185" spans="1:6" x14ac:dyDescent="0.35">
      <c r="A1185">
        <v>200629</v>
      </c>
      <c r="B1185">
        <v>26</v>
      </c>
      <c r="C1185" s="1">
        <v>62274.239999999998</v>
      </c>
      <c r="D1185">
        <v>29</v>
      </c>
      <c r="E1185" s="1">
        <v>73232.77</v>
      </c>
      <c r="F1185" s="1">
        <v>135507.01</v>
      </c>
    </row>
    <row r="1186" spans="1:6" x14ac:dyDescent="0.35">
      <c r="A1186">
        <v>200942</v>
      </c>
      <c r="B1186">
        <v>32</v>
      </c>
      <c r="C1186" s="1">
        <v>74069.2</v>
      </c>
      <c r="D1186">
        <v>28</v>
      </c>
      <c r="E1186" s="1">
        <v>61349.35</v>
      </c>
      <c r="F1186" s="1">
        <v>135418.54999999999</v>
      </c>
    </row>
    <row r="1187" spans="1:6" x14ac:dyDescent="0.35">
      <c r="A1187">
        <v>200339</v>
      </c>
      <c r="B1187">
        <v>29</v>
      </c>
      <c r="C1187" s="1">
        <v>81767.600000000006</v>
      </c>
      <c r="D1187">
        <v>23</v>
      </c>
      <c r="E1187" s="1">
        <v>53462.29</v>
      </c>
      <c r="F1187" s="1">
        <v>135229.89000000001</v>
      </c>
    </row>
    <row r="1188" spans="1:6" x14ac:dyDescent="0.35">
      <c r="A1188">
        <v>201014</v>
      </c>
      <c r="B1188">
        <v>20</v>
      </c>
      <c r="C1188" s="1">
        <v>59111.12</v>
      </c>
      <c r="D1188">
        <v>30</v>
      </c>
      <c r="E1188" s="1">
        <v>76118.67</v>
      </c>
      <c r="F1188" s="1">
        <v>135229.79</v>
      </c>
    </row>
    <row r="1189" spans="1:6" x14ac:dyDescent="0.35">
      <c r="A1189">
        <v>201474</v>
      </c>
      <c r="B1189">
        <v>28</v>
      </c>
      <c r="C1189" s="1">
        <v>73310.490000000005</v>
      </c>
      <c r="D1189">
        <v>23</v>
      </c>
      <c r="E1189" s="1">
        <v>61889.52</v>
      </c>
      <c r="F1189" s="1">
        <v>135200.01</v>
      </c>
    </row>
    <row r="1190" spans="1:6" x14ac:dyDescent="0.35">
      <c r="A1190">
        <v>200284</v>
      </c>
      <c r="B1190">
        <v>25</v>
      </c>
      <c r="C1190" s="1">
        <v>69626.39</v>
      </c>
      <c r="D1190">
        <v>25</v>
      </c>
      <c r="E1190" s="1">
        <v>65571.5</v>
      </c>
      <c r="F1190" s="1">
        <v>135197.89000000001</v>
      </c>
    </row>
    <row r="1191" spans="1:6" x14ac:dyDescent="0.35">
      <c r="A1191">
        <v>201214</v>
      </c>
      <c r="B1191">
        <v>27</v>
      </c>
      <c r="C1191" s="1">
        <v>67372.67</v>
      </c>
      <c r="D1191">
        <v>29</v>
      </c>
      <c r="E1191" s="1">
        <v>67798.25</v>
      </c>
      <c r="F1191" s="1">
        <v>135170.91999999899</v>
      </c>
    </row>
    <row r="1192" spans="1:6" x14ac:dyDescent="0.35">
      <c r="A1192">
        <v>200214</v>
      </c>
      <c r="B1192">
        <v>32</v>
      </c>
      <c r="C1192" s="1">
        <v>79989.75</v>
      </c>
      <c r="D1192">
        <v>24</v>
      </c>
      <c r="E1192" s="1">
        <v>55167.87</v>
      </c>
      <c r="F1192" s="1">
        <v>135157.62</v>
      </c>
    </row>
    <row r="1193" spans="1:6" x14ac:dyDescent="0.35">
      <c r="A1193">
        <v>201161</v>
      </c>
      <c r="B1193">
        <v>22</v>
      </c>
      <c r="C1193" s="1">
        <v>69203.61</v>
      </c>
      <c r="D1193">
        <v>25</v>
      </c>
      <c r="E1193" s="1">
        <v>65942.98</v>
      </c>
      <c r="F1193" s="1">
        <v>135146.59</v>
      </c>
    </row>
    <row r="1194" spans="1:6" x14ac:dyDescent="0.35">
      <c r="A1194">
        <v>201308</v>
      </c>
      <c r="B1194">
        <v>26</v>
      </c>
      <c r="C1194" s="1">
        <v>60172.51</v>
      </c>
      <c r="D1194">
        <v>31</v>
      </c>
      <c r="E1194" s="1">
        <v>74967.289999999994</v>
      </c>
      <c r="F1194" s="1">
        <v>135139.79999999999</v>
      </c>
    </row>
    <row r="1195" spans="1:6" x14ac:dyDescent="0.35">
      <c r="A1195">
        <v>201252</v>
      </c>
      <c r="B1195">
        <v>30</v>
      </c>
      <c r="C1195" s="1">
        <v>67003.86</v>
      </c>
      <c r="D1195">
        <v>29</v>
      </c>
      <c r="E1195" s="1">
        <v>68116.94</v>
      </c>
      <c r="F1195" s="1">
        <v>135120.79999999999</v>
      </c>
    </row>
    <row r="1196" spans="1:6" x14ac:dyDescent="0.35">
      <c r="A1196">
        <v>201593</v>
      </c>
      <c r="B1196">
        <v>26</v>
      </c>
      <c r="C1196" s="1">
        <v>57016.480000000003</v>
      </c>
      <c r="D1196">
        <v>30</v>
      </c>
      <c r="E1196" s="1">
        <v>78094.73</v>
      </c>
      <c r="F1196" s="1">
        <v>135111.21</v>
      </c>
    </row>
    <row r="1197" spans="1:6" x14ac:dyDescent="0.35">
      <c r="A1197">
        <v>201563</v>
      </c>
      <c r="B1197">
        <v>26</v>
      </c>
      <c r="C1197" s="1">
        <v>65062.73</v>
      </c>
      <c r="D1197">
        <v>26</v>
      </c>
      <c r="E1197" s="1">
        <v>69934.53</v>
      </c>
      <c r="F1197" s="1">
        <v>134997.26</v>
      </c>
    </row>
    <row r="1198" spans="1:6" x14ac:dyDescent="0.35">
      <c r="A1198">
        <v>200309</v>
      </c>
      <c r="B1198">
        <v>32</v>
      </c>
      <c r="C1198" s="1">
        <v>71908.56</v>
      </c>
      <c r="D1198">
        <v>24</v>
      </c>
      <c r="E1198" s="1">
        <v>63072.58</v>
      </c>
      <c r="F1198" s="1">
        <v>134981.14000000001</v>
      </c>
    </row>
    <row r="1199" spans="1:6" x14ac:dyDescent="0.35">
      <c r="A1199">
        <v>200623</v>
      </c>
      <c r="B1199">
        <v>27</v>
      </c>
      <c r="C1199" s="1">
        <v>74099.98</v>
      </c>
      <c r="D1199">
        <v>27</v>
      </c>
      <c r="E1199" s="1">
        <v>60876.639999999999</v>
      </c>
      <c r="F1199" s="1">
        <v>134976.62</v>
      </c>
    </row>
    <row r="1200" spans="1:6" x14ac:dyDescent="0.35">
      <c r="A1200">
        <v>200036</v>
      </c>
      <c r="B1200">
        <v>30</v>
      </c>
      <c r="C1200" s="1">
        <v>56188.57</v>
      </c>
      <c r="D1200">
        <v>37</v>
      </c>
      <c r="E1200" s="1">
        <v>78761.09</v>
      </c>
      <c r="F1200" s="1">
        <v>134949.66</v>
      </c>
    </row>
    <row r="1201" spans="1:6" x14ac:dyDescent="0.35">
      <c r="A1201">
        <v>200019</v>
      </c>
      <c r="B1201">
        <v>26</v>
      </c>
      <c r="C1201" s="1">
        <v>56324.480000000003</v>
      </c>
      <c r="D1201">
        <v>30</v>
      </c>
      <c r="E1201" s="1">
        <v>78540.850000000006</v>
      </c>
      <c r="F1201" s="1">
        <v>134865.32999999999</v>
      </c>
    </row>
    <row r="1202" spans="1:6" x14ac:dyDescent="0.35">
      <c r="A1202">
        <v>201620</v>
      </c>
      <c r="B1202">
        <v>28</v>
      </c>
      <c r="C1202" s="1">
        <v>45242.39</v>
      </c>
      <c r="D1202">
        <v>37</v>
      </c>
      <c r="E1202" s="1">
        <v>89584.36</v>
      </c>
      <c r="F1202" s="1">
        <v>134826.75</v>
      </c>
    </row>
    <row r="1203" spans="1:6" x14ac:dyDescent="0.35">
      <c r="A1203">
        <v>200224</v>
      </c>
      <c r="B1203">
        <v>24</v>
      </c>
      <c r="C1203" s="1">
        <v>65860.789999999994</v>
      </c>
      <c r="D1203">
        <v>31</v>
      </c>
      <c r="E1203" s="1">
        <v>68959.63</v>
      </c>
      <c r="F1203" s="1">
        <v>134820.41999999899</v>
      </c>
    </row>
    <row r="1204" spans="1:6" x14ac:dyDescent="0.35">
      <c r="A1204">
        <v>201000</v>
      </c>
      <c r="B1204">
        <v>25</v>
      </c>
      <c r="C1204" s="1">
        <v>60956.77</v>
      </c>
      <c r="D1204">
        <v>32</v>
      </c>
      <c r="E1204" s="1">
        <v>73856.19</v>
      </c>
      <c r="F1204" s="1">
        <v>134812.96</v>
      </c>
    </row>
    <row r="1205" spans="1:6" x14ac:dyDescent="0.35">
      <c r="A1205">
        <v>201301</v>
      </c>
      <c r="B1205">
        <v>34</v>
      </c>
      <c r="C1205" s="1">
        <v>80934.98</v>
      </c>
      <c r="D1205">
        <v>25</v>
      </c>
      <c r="E1205" s="1">
        <v>53876.41</v>
      </c>
      <c r="F1205" s="1">
        <v>134811.39000000001</v>
      </c>
    </row>
    <row r="1206" spans="1:6" x14ac:dyDescent="0.35">
      <c r="A1206">
        <v>201383</v>
      </c>
      <c r="B1206">
        <v>29</v>
      </c>
      <c r="C1206" s="1">
        <v>73409.759999999995</v>
      </c>
      <c r="D1206">
        <v>27</v>
      </c>
      <c r="E1206" s="1">
        <v>61395.94</v>
      </c>
      <c r="F1206" s="1">
        <v>134805.70000000001</v>
      </c>
    </row>
    <row r="1207" spans="1:6" x14ac:dyDescent="0.35">
      <c r="A1207">
        <v>200326</v>
      </c>
      <c r="B1207">
        <v>30</v>
      </c>
      <c r="C1207" s="1">
        <v>69571.67</v>
      </c>
      <c r="D1207">
        <v>27</v>
      </c>
      <c r="E1207" s="1">
        <v>65226.57</v>
      </c>
      <c r="F1207" s="1">
        <v>134798.24</v>
      </c>
    </row>
    <row r="1208" spans="1:6" x14ac:dyDescent="0.35">
      <c r="A1208">
        <v>200001</v>
      </c>
      <c r="B1208">
        <v>26</v>
      </c>
      <c r="C1208" s="1">
        <v>67176.399999999994</v>
      </c>
      <c r="D1208">
        <v>28</v>
      </c>
      <c r="E1208" s="1">
        <v>67602.570000000007</v>
      </c>
      <c r="F1208" s="1">
        <v>134778.97</v>
      </c>
    </row>
    <row r="1209" spans="1:6" x14ac:dyDescent="0.35">
      <c r="A1209">
        <v>200826</v>
      </c>
      <c r="B1209">
        <v>20</v>
      </c>
      <c r="C1209" s="1">
        <v>49660.25</v>
      </c>
      <c r="D1209">
        <v>27</v>
      </c>
      <c r="E1209" s="1">
        <v>85107.57</v>
      </c>
      <c r="F1209" s="1">
        <v>134767.82</v>
      </c>
    </row>
    <row r="1210" spans="1:6" x14ac:dyDescent="0.35">
      <c r="A1210">
        <v>201046</v>
      </c>
      <c r="B1210">
        <v>29</v>
      </c>
      <c r="C1210" s="1">
        <v>65203.82</v>
      </c>
      <c r="D1210">
        <v>30</v>
      </c>
      <c r="E1210" s="1">
        <v>69548.38</v>
      </c>
      <c r="F1210" s="1">
        <v>134752.20000000001</v>
      </c>
    </row>
    <row r="1211" spans="1:6" x14ac:dyDescent="0.35">
      <c r="A1211">
        <v>200713</v>
      </c>
      <c r="B1211">
        <v>25</v>
      </c>
      <c r="C1211" s="1">
        <v>58910.14</v>
      </c>
      <c r="D1211">
        <v>31</v>
      </c>
      <c r="E1211" s="1">
        <v>75723.75</v>
      </c>
      <c r="F1211" s="1">
        <v>134633.89000000001</v>
      </c>
    </row>
    <row r="1212" spans="1:6" x14ac:dyDescent="0.35">
      <c r="A1212">
        <v>200459</v>
      </c>
      <c r="B1212">
        <v>39</v>
      </c>
      <c r="C1212" s="1">
        <v>82414.600000000006</v>
      </c>
      <c r="D1212">
        <v>23</v>
      </c>
      <c r="E1212" s="1">
        <v>52212.37</v>
      </c>
      <c r="F1212" s="1">
        <v>134626.97</v>
      </c>
    </row>
    <row r="1213" spans="1:6" x14ac:dyDescent="0.35">
      <c r="A1213">
        <v>200450</v>
      </c>
      <c r="B1213">
        <v>32</v>
      </c>
      <c r="C1213" s="1">
        <v>85801.88</v>
      </c>
      <c r="D1213">
        <v>19</v>
      </c>
      <c r="E1213" s="1">
        <v>48803.75</v>
      </c>
      <c r="F1213" s="1">
        <v>134605.63</v>
      </c>
    </row>
    <row r="1214" spans="1:6" x14ac:dyDescent="0.35">
      <c r="A1214">
        <v>200531</v>
      </c>
      <c r="B1214">
        <v>21</v>
      </c>
      <c r="C1214" s="1">
        <v>64396.93</v>
      </c>
      <c r="D1214">
        <v>30</v>
      </c>
      <c r="E1214" s="1">
        <v>70198.03</v>
      </c>
      <c r="F1214" s="1">
        <v>134594.96</v>
      </c>
    </row>
    <row r="1215" spans="1:6" x14ac:dyDescent="0.35">
      <c r="A1215">
        <v>200758</v>
      </c>
      <c r="B1215">
        <v>29</v>
      </c>
      <c r="C1215" s="1">
        <v>64936.25</v>
      </c>
      <c r="D1215">
        <v>33</v>
      </c>
      <c r="E1215" s="1">
        <v>69614.45</v>
      </c>
      <c r="F1215" s="1">
        <v>134550.70000000001</v>
      </c>
    </row>
    <row r="1216" spans="1:6" x14ac:dyDescent="0.35">
      <c r="A1216">
        <v>200852</v>
      </c>
      <c r="B1216">
        <v>36</v>
      </c>
      <c r="C1216" s="1">
        <v>79988.740000000005</v>
      </c>
      <c r="D1216">
        <v>28</v>
      </c>
      <c r="E1216" s="1">
        <v>54533.94</v>
      </c>
      <c r="F1216" s="1">
        <v>134522.68</v>
      </c>
    </row>
    <row r="1217" spans="1:6" x14ac:dyDescent="0.35">
      <c r="A1217">
        <v>201168</v>
      </c>
      <c r="B1217">
        <v>20</v>
      </c>
      <c r="C1217" s="1">
        <v>48070.64</v>
      </c>
      <c r="D1217">
        <v>35</v>
      </c>
      <c r="E1217" s="1">
        <v>86444</v>
      </c>
      <c r="F1217" s="1">
        <v>134514.64000000001</v>
      </c>
    </row>
    <row r="1218" spans="1:6" x14ac:dyDescent="0.35">
      <c r="A1218">
        <v>200762</v>
      </c>
      <c r="B1218">
        <v>29</v>
      </c>
      <c r="C1218" s="1">
        <v>60777.74</v>
      </c>
      <c r="D1218">
        <v>29</v>
      </c>
      <c r="E1218" s="1">
        <v>73654.47</v>
      </c>
      <c r="F1218" s="1">
        <v>134432.21</v>
      </c>
    </row>
    <row r="1219" spans="1:6" x14ac:dyDescent="0.35">
      <c r="A1219">
        <v>200742</v>
      </c>
      <c r="B1219">
        <v>27</v>
      </c>
      <c r="C1219" s="1">
        <v>68727.25</v>
      </c>
      <c r="D1219">
        <v>23</v>
      </c>
      <c r="E1219" s="1">
        <v>65668.62</v>
      </c>
      <c r="F1219" s="1">
        <v>134395.87</v>
      </c>
    </row>
    <row r="1220" spans="1:6" x14ac:dyDescent="0.35">
      <c r="A1220">
        <v>200736</v>
      </c>
      <c r="B1220">
        <v>21</v>
      </c>
      <c r="C1220" s="1">
        <v>44042.04</v>
      </c>
      <c r="D1220">
        <v>37</v>
      </c>
      <c r="E1220" s="1">
        <v>90304.6</v>
      </c>
      <c r="F1220" s="1">
        <v>134346.64000000001</v>
      </c>
    </row>
    <row r="1221" spans="1:6" x14ac:dyDescent="0.35">
      <c r="A1221">
        <v>200494</v>
      </c>
      <c r="B1221">
        <v>26</v>
      </c>
      <c r="C1221" s="1">
        <v>72984.03</v>
      </c>
      <c r="D1221">
        <v>26</v>
      </c>
      <c r="E1221" s="1">
        <v>61335.73</v>
      </c>
      <c r="F1221" s="1">
        <v>134319.76</v>
      </c>
    </row>
    <row r="1222" spans="1:6" x14ac:dyDescent="0.35">
      <c r="A1222">
        <v>201116</v>
      </c>
      <c r="B1222">
        <v>26</v>
      </c>
      <c r="C1222" s="1">
        <v>78738.289999999994</v>
      </c>
      <c r="D1222">
        <v>25</v>
      </c>
      <c r="E1222" s="1">
        <v>55542.5</v>
      </c>
      <c r="F1222" s="1">
        <v>134280.78999999899</v>
      </c>
    </row>
    <row r="1223" spans="1:6" x14ac:dyDescent="0.35">
      <c r="A1223">
        <v>201507</v>
      </c>
      <c r="B1223">
        <v>28</v>
      </c>
      <c r="C1223" s="1">
        <v>62025.61</v>
      </c>
      <c r="D1223">
        <v>31</v>
      </c>
      <c r="E1223" s="1">
        <v>72247.259999999995</v>
      </c>
      <c r="F1223" s="1">
        <v>134272.87</v>
      </c>
    </row>
    <row r="1224" spans="1:6" x14ac:dyDescent="0.35">
      <c r="A1224">
        <v>201151</v>
      </c>
      <c r="B1224">
        <v>23</v>
      </c>
      <c r="C1224" s="1">
        <v>46317</v>
      </c>
      <c r="D1224">
        <v>33</v>
      </c>
      <c r="E1224" s="1">
        <v>87884.29</v>
      </c>
      <c r="F1224" s="1">
        <v>134201.28999999899</v>
      </c>
    </row>
    <row r="1225" spans="1:6" x14ac:dyDescent="0.35">
      <c r="A1225">
        <v>200628</v>
      </c>
      <c r="B1225">
        <v>29</v>
      </c>
      <c r="C1225" s="1">
        <v>71825.070000000007</v>
      </c>
      <c r="D1225">
        <v>24</v>
      </c>
      <c r="E1225" s="1">
        <v>62367.6</v>
      </c>
      <c r="F1225" s="1">
        <v>134192.67000000001</v>
      </c>
    </row>
    <row r="1226" spans="1:6" x14ac:dyDescent="0.35">
      <c r="A1226">
        <v>200534</v>
      </c>
      <c r="B1226">
        <v>27</v>
      </c>
      <c r="C1226" s="1">
        <v>66933.009999999995</v>
      </c>
      <c r="D1226">
        <v>28</v>
      </c>
      <c r="E1226" s="1">
        <v>67187.710000000006</v>
      </c>
      <c r="F1226" s="1">
        <v>134120.72</v>
      </c>
    </row>
    <row r="1227" spans="1:6" x14ac:dyDescent="0.35">
      <c r="A1227">
        <v>200360</v>
      </c>
      <c r="B1227">
        <v>22</v>
      </c>
      <c r="C1227" s="1">
        <v>62737.54</v>
      </c>
      <c r="D1227">
        <v>24</v>
      </c>
      <c r="E1227" s="1">
        <v>71344.62</v>
      </c>
      <c r="F1227" s="1">
        <v>134082.16</v>
      </c>
    </row>
    <row r="1228" spans="1:6" x14ac:dyDescent="0.35">
      <c r="A1228">
        <v>200572</v>
      </c>
      <c r="B1228">
        <v>28</v>
      </c>
      <c r="C1228" s="1">
        <v>68746.34</v>
      </c>
      <c r="D1228">
        <v>34</v>
      </c>
      <c r="E1228" s="1">
        <v>65334.34</v>
      </c>
      <c r="F1228" s="1">
        <v>134080.68</v>
      </c>
    </row>
    <row r="1229" spans="1:6" x14ac:dyDescent="0.35">
      <c r="A1229">
        <v>201481</v>
      </c>
      <c r="B1229">
        <v>19</v>
      </c>
      <c r="C1229" s="1">
        <v>43147.56</v>
      </c>
      <c r="D1229">
        <v>32</v>
      </c>
      <c r="E1229" s="1">
        <v>90699.04</v>
      </c>
      <c r="F1229" s="1">
        <v>133846.59999999899</v>
      </c>
    </row>
    <row r="1230" spans="1:6" x14ac:dyDescent="0.35">
      <c r="A1230">
        <v>201203</v>
      </c>
      <c r="B1230">
        <v>30</v>
      </c>
      <c r="C1230" s="1">
        <v>74521.41</v>
      </c>
      <c r="D1230">
        <v>22</v>
      </c>
      <c r="E1230" s="1">
        <v>59313.83</v>
      </c>
      <c r="F1230" s="1">
        <v>133835.24</v>
      </c>
    </row>
    <row r="1231" spans="1:6" x14ac:dyDescent="0.35">
      <c r="A1231">
        <v>200974</v>
      </c>
      <c r="B1231">
        <v>32</v>
      </c>
      <c r="C1231" s="1">
        <v>77916.17</v>
      </c>
      <c r="D1231">
        <v>25</v>
      </c>
      <c r="E1231" s="1">
        <v>55886.16</v>
      </c>
      <c r="F1231" s="1">
        <v>133802.32999999999</v>
      </c>
    </row>
    <row r="1232" spans="1:6" x14ac:dyDescent="0.35">
      <c r="A1232">
        <v>201089</v>
      </c>
      <c r="B1232">
        <v>33</v>
      </c>
      <c r="C1232" s="1">
        <v>74309.39</v>
      </c>
      <c r="D1232">
        <v>23</v>
      </c>
      <c r="E1232" s="1">
        <v>59470.64</v>
      </c>
      <c r="F1232" s="1">
        <v>133780.03</v>
      </c>
    </row>
    <row r="1233" spans="1:6" x14ac:dyDescent="0.35">
      <c r="A1233">
        <v>201044</v>
      </c>
      <c r="B1233">
        <v>25</v>
      </c>
      <c r="C1233" s="1">
        <v>51503.59</v>
      </c>
      <c r="D1233">
        <v>32</v>
      </c>
      <c r="E1233" s="1">
        <v>82198.259999999995</v>
      </c>
      <c r="F1233" s="1">
        <v>133701.84999999899</v>
      </c>
    </row>
    <row r="1234" spans="1:6" x14ac:dyDescent="0.35">
      <c r="A1234">
        <v>200110</v>
      </c>
      <c r="B1234">
        <v>20</v>
      </c>
      <c r="C1234" s="1">
        <v>52449.279999999999</v>
      </c>
      <c r="D1234">
        <v>32</v>
      </c>
      <c r="E1234" s="1">
        <v>81172.52</v>
      </c>
      <c r="F1234" s="1">
        <v>133621.79999999999</v>
      </c>
    </row>
    <row r="1235" spans="1:6" x14ac:dyDescent="0.35">
      <c r="A1235">
        <v>200674</v>
      </c>
      <c r="B1235">
        <v>24</v>
      </c>
      <c r="C1235" s="1">
        <v>58870.29</v>
      </c>
      <c r="D1235">
        <v>34</v>
      </c>
      <c r="E1235" s="1">
        <v>74728.06</v>
      </c>
      <c r="F1235" s="1">
        <v>133598.35</v>
      </c>
    </row>
    <row r="1236" spans="1:6" x14ac:dyDescent="0.35">
      <c r="A1236">
        <v>200815</v>
      </c>
      <c r="B1236">
        <v>35</v>
      </c>
      <c r="C1236" s="1">
        <v>68974.66</v>
      </c>
      <c r="D1236">
        <v>24</v>
      </c>
      <c r="E1236" s="1">
        <v>64623.64</v>
      </c>
      <c r="F1236" s="1">
        <v>133598.29999999999</v>
      </c>
    </row>
    <row r="1237" spans="1:6" x14ac:dyDescent="0.35">
      <c r="A1237">
        <v>201568</v>
      </c>
      <c r="B1237">
        <v>30</v>
      </c>
      <c r="C1237" s="1">
        <v>65856.070000000007</v>
      </c>
      <c r="D1237">
        <v>31</v>
      </c>
      <c r="E1237" s="1">
        <v>67734.28</v>
      </c>
      <c r="F1237" s="1">
        <v>133590.35</v>
      </c>
    </row>
    <row r="1238" spans="1:6" x14ac:dyDescent="0.35">
      <c r="A1238">
        <v>200636</v>
      </c>
      <c r="B1238">
        <v>31</v>
      </c>
      <c r="C1238" s="1">
        <v>67526.710000000006</v>
      </c>
      <c r="D1238">
        <v>28</v>
      </c>
      <c r="E1238" s="1">
        <v>65989.25</v>
      </c>
      <c r="F1238" s="1">
        <v>133515.96</v>
      </c>
    </row>
    <row r="1239" spans="1:6" x14ac:dyDescent="0.35">
      <c r="A1239">
        <v>200342</v>
      </c>
      <c r="B1239">
        <v>32</v>
      </c>
      <c r="C1239" s="1">
        <v>79163.88</v>
      </c>
      <c r="D1239">
        <v>25</v>
      </c>
      <c r="E1239" s="1">
        <v>54304.97</v>
      </c>
      <c r="F1239" s="1">
        <v>133468.85</v>
      </c>
    </row>
    <row r="1240" spans="1:6" x14ac:dyDescent="0.35">
      <c r="A1240">
        <v>201133</v>
      </c>
      <c r="B1240">
        <v>29</v>
      </c>
      <c r="C1240" s="1">
        <v>68498.320000000007</v>
      </c>
      <c r="D1240">
        <v>29</v>
      </c>
      <c r="E1240" s="1">
        <v>64817.63</v>
      </c>
      <c r="F1240" s="1">
        <v>133315.95000000001</v>
      </c>
    </row>
    <row r="1241" spans="1:6" x14ac:dyDescent="0.35">
      <c r="A1241">
        <v>200305</v>
      </c>
      <c r="B1241">
        <v>33</v>
      </c>
      <c r="C1241" s="1">
        <v>92686.11</v>
      </c>
      <c r="D1241">
        <v>17</v>
      </c>
      <c r="E1241" s="1">
        <v>40628.370000000003</v>
      </c>
      <c r="F1241" s="1">
        <v>133314.48000000001</v>
      </c>
    </row>
    <row r="1242" spans="1:6" x14ac:dyDescent="0.35">
      <c r="A1242">
        <v>200949</v>
      </c>
      <c r="B1242">
        <v>34</v>
      </c>
      <c r="C1242" s="1">
        <v>77147.59</v>
      </c>
      <c r="D1242">
        <v>25</v>
      </c>
      <c r="E1242" s="1">
        <v>56132.86</v>
      </c>
      <c r="F1242" s="1">
        <v>133280.45000000001</v>
      </c>
    </row>
    <row r="1243" spans="1:6" x14ac:dyDescent="0.35">
      <c r="A1243">
        <v>201076</v>
      </c>
      <c r="B1243">
        <v>28</v>
      </c>
      <c r="C1243" s="1">
        <v>62028.73</v>
      </c>
      <c r="D1243">
        <v>31</v>
      </c>
      <c r="E1243" s="1">
        <v>71227.39</v>
      </c>
      <c r="F1243" s="1">
        <v>133256.12</v>
      </c>
    </row>
    <row r="1244" spans="1:6" x14ac:dyDescent="0.35">
      <c r="A1244">
        <v>201325</v>
      </c>
      <c r="B1244">
        <v>29</v>
      </c>
      <c r="C1244" s="1">
        <v>66505.64</v>
      </c>
      <c r="D1244">
        <v>28</v>
      </c>
      <c r="E1244" s="1">
        <v>66728.160000000003</v>
      </c>
      <c r="F1244" s="1">
        <v>133233.79999999999</v>
      </c>
    </row>
    <row r="1245" spans="1:6" x14ac:dyDescent="0.35">
      <c r="A1245">
        <v>201166</v>
      </c>
      <c r="B1245">
        <v>30</v>
      </c>
      <c r="C1245" s="1">
        <v>64932.85</v>
      </c>
      <c r="D1245">
        <v>25</v>
      </c>
      <c r="E1245" s="1">
        <v>68291.78</v>
      </c>
      <c r="F1245" s="1">
        <v>133224.63</v>
      </c>
    </row>
    <row r="1246" spans="1:6" x14ac:dyDescent="0.35">
      <c r="A1246">
        <v>200633</v>
      </c>
      <c r="B1246">
        <v>28</v>
      </c>
      <c r="C1246" s="1">
        <v>70983.47</v>
      </c>
      <c r="D1246">
        <v>24</v>
      </c>
      <c r="E1246" s="1">
        <v>62174.86</v>
      </c>
      <c r="F1246" s="1">
        <v>133158.32999999999</v>
      </c>
    </row>
    <row r="1247" spans="1:6" x14ac:dyDescent="0.35">
      <c r="A1247">
        <v>200296</v>
      </c>
      <c r="B1247">
        <v>24</v>
      </c>
      <c r="C1247" s="1">
        <v>55171.63</v>
      </c>
      <c r="D1247">
        <v>31</v>
      </c>
      <c r="E1247" s="1">
        <v>77939.350000000006</v>
      </c>
      <c r="F1247" s="1">
        <v>133110.98000000001</v>
      </c>
    </row>
    <row r="1248" spans="1:6" x14ac:dyDescent="0.35">
      <c r="A1248">
        <v>200882</v>
      </c>
      <c r="B1248">
        <v>33</v>
      </c>
      <c r="C1248" s="1">
        <v>83113.289999999994</v>
      </c>
      <c r="D1248">
        <v>24</v>
      </c>
      <c r="E1248" s="1">
        <v>49983.199999999997</v>
      </c>
      <c r="F1248" s="1">
        <v>133096.49</v>
      </c>
    </row>
    <row r="1249" spans="1:6" x14ac:dyDescent="0.35">
      <c r="A1249">
        <v>200831</v>
      </c>
      <c r="B1249">
        <v>31</v>
      </c>
      <c r="C1249" s="1">
        <v>80119.8</v>
      </c>
      <c r="D1249">
        <v>21</v>
      </c>
      <c r="E1249" s="1">
        <v>52974.26</v>
      </c>
      <c r="F1249" s="1">
        <v>133094.06</v>
      </c>
    </row>
    <row r="1250" spans="1:6" x14ac:dyDescent="0.35">
      <c r="A1250">
        <v>200248</v>
      </c>
      <c r="B1250">
        <v>27</v>
      </c>
      <c r="C1250" s="1">
        <v>64562.18</v>
      </c>
      <c r="D1250">
        <v>36</v>
      </c>
      <c r="E1250" s="1">
        <v>68502.92</v>
      </c>
      <c r="F1250" s="1">
        <v>133065.1</v>
      </c>
    </row>
    <row r="1251" spans="1:6" x14ac:dyDescent="0.35">
      <c r="A1251">
        <v>201515</v>
      </c>
      <c r="B1251">
        <v>26</v>
      </c>
      <c r="C1251" s="1">
        <v>52554.12</v>
      </c>
      <c r="D1251">
        <v>30</v>
      </c>
      <c r="E1251" s="1">
        <v>80368.350000000006</v>
      </c>
      <c r="F1251" s="1">
        <v>132922.47</v>
      </c>
    </row>
    <row r="1252" spans="1:6" x14ac:dyDescent="0.35">
      <c r="A1252">
        <v>200243</v>
      </c>
      <c r="B1252">
        <v>31</v>
      </c>
      <c r="C1252" s="1">
        <v>66068.479999999996</v>
      </c>
      <c r="D1252">
        <v>29</v>
      </c>
      <c r="E1252" s="1">
        <v>66846.06</v>
      </c>
      <c r="F1252" s="1">
        <v>132914.53999999899</v>
      </c>
    </row>
    <row r="1253" spans="1:6" x14ac:dyDescent="0.35">
      <c r="A1253">
        <v>201607</v>
      </c>
      <c r="B1253">
        <v>28</v>
      </c>
      <c r="C1253" s="1">
        <v>78321.02</v>
      </c>
      <c r="D1253">
        <v>23</v>
      </c>
      <c r="E1253" s="1">
        <v>54563.19</v>
      </c>
      <c r="F1253" s="1">
        <v>132884.21</v>
      </c>
    </row>
    <row r="1254" spans="1:6" x14ac:dyDescent="0.35">
      <c r="A1254">
        <v>201248</v>
      </c>
      <c r="B1254">
        <v>25</v>
      </c>
      <c r="C1254" s="1">
        <v>66519.06</v>
      </c>
      <c r="D1254">
        <v>27</v>
      </c>
      <c r="E1254" s="1">
        <v>66326.19</v>
      </c>
      <c r="F1254" s="1">
        <v>132845.25</v>
      </c>
    </row>
    <row r="1255" spans="1:6" x14ac:dyDescent="0.35">
      <c r="A1255">
        <v>200587</v>
      </c>
      <c r="B1255">
        <v>32</v>
      </c>
      <c r="C1255" s="1">
        <v>73439.009999999995</v>
      </c>
      <c r="D1255">
        <v>22</v>
      </c>
      <c r="E1255" s="1">
        <v>59367.92</v>
      </c>
      <c r="F1255" s="1">
        <v>132806.93</v>
      </c>
    </row>
    <row r="1256" spans="1:6" x14ac:dyDescent="0.35">
      <c r="A1256">
        <v>201369</v>
      </c>
      <c r="B1256">
        <v>29</v>
      </c>
      <c r="C1256" s="1">
        <v>69757.899999999994</v>
      </c>
      <c r="D1256">
        <v>25</v>
      </c>
      <c r="E1256" s="1">
        <v>63032.95</v>
      </c>
      <c r="F1256" s="1">
        <v>132790.84999999899</v>
      </c>
    </row>
    <row r="1257" spans="1:6" x14ac:dyDescent="0.35">
      <c r="A1257">
        <v>201382</v>
      </c>
      <c r="B1257">
        <v>25</v>
      </c>
      <c r="C1257" s="1">
        <v>43556.639999999999</v>
      </c>
      <c r="D1257">
        <v>37</v>
      </c>
      <c r="E1257" s="1">
        <v>89223.06</v>
      </c>
      <c r="F1257" s="1">
        <v>132779.70000000001</v>
      </c>
    </row>
    <row r="1258" spans="1:6" x14ac:dyDescent="0.35">
      <c r="A1258">
        <v>200480</v>
      </c>
      <c r="B1258">
        <v>23</v>
      </c>
      <c r="C1258" s="1">
        <v>52092.25</v>
      </c>
      <c r="D1258">
        <v>36</v>
      </c>
      <c r="E1258" s="1">
        <v>80661.33</v>
      </c>
      <c r="F1258" s="1">
        <v>132753.57999999999</v>
      </c>
    </row>
    <row r="1259" spans="1:6" x14ac:dyDescent="0.35">
      <c r="A1259">
        <v>200805</v>
      </c>
      <c r="B1259">
        <v>27</v>
      </c>
      <c r="C1259" s="1">
        <v>62070.97</v>
      </c>
      <c r="D1259">
        <v>28</v>
      </c>
      <c r="E1259" s="1">
        <v>70667.28</v>
      </c>
      <c r="F1259" s="1">
        <v>132738.25</v>
      </c>
    </row>
    <row r="1260" spans="1:6" x14ac:dyDescent="0.35">
      <c r="A1260">
        <v>200388</v>
      </c>
      <c r="B1260">
        <v>30</v>
      </c>
      <c r="C1260" s="1">
        <v>62820.61</v>
      </c>
      <c r="D1260">
        <v>24</v>
      </c>
      <c r="E1260" s="1">
        <v>69861.100000000006</v>
      </c>
      <c r="F1260" s="1">
        <v>132681.71</v>
      </c>
    </row>
    <row r="1261" spans="1:6" x14ac:dyDescent="0.35">
      <c r="A1261">
        <v>201278</v>
      </c>
      <c r="B1261">
        <v>33</v>
      </c>
      <c r="C1261" s="1">
        <v>79994.02</v>
      </c>
      <c r="D1261">
        <v>26</v>
      </c>
      <c r="E1261" s="1">
        <v>52662.29</v>
      </c>
      <c r="F1261" s="1">
        <v>132656.31</v>
      </c>
    </row>
    <row r="1262" spans="1:6" x14ac:dyDescent="0.35">
      <c r="A1262">
        <v>200915</v>
      </c>
      <c r="B1262">
        <v>26</v>
      </c>
      <c r="C1262" s="1">
        <v>61316.06</v>
      </c>
      <c r="D1262">
        <v>31</v>
      </c>
      <c r="E1262" s="1">
        <v>71324.740000000005</v>
      </c>
      <c r="F1262" s="1">
        <v>132640.79999999999</v>
      </c>
    </row>
    <row r="1263" spans="1:6" x14ac:dyDescent="0.35">
      <c r="A1263">
        <v>200371</v>
      </c>
      <c r="B1263">
        <v>25</v>
      </c>
      <c r="C1263" s="1">
        <v>58599.61</v>
      </c>
      <c r="D1263">
        <v>24</v>
      </c>
      <c r="E1263" s="1">
        <v>74008.399999999994</v>
      </c>
      <c r="F1263" s="1">
        <v>132608.01</v>
      </c>
    </row>
    <row r="1264" spans="1:6" x14ac:dyDescent="0.35">
      <c r="A1264">
        <v>200823</v>
      </c>
      <c r="B1264">
        <v>33</v>
      </c>
      <c r="C1264" s="1">
        <v>83977.18</v>
      </c>
      <c r="D1264">
        <v>22</v>
      </c>
      <c r="E1264" s="1">
        <v>48619.12</v>
      </c>
      <c r="F1264" s="1">
        <v>132596.29999999999</v>
      </c>
    </row>
    <row r="1265" spans="1:6" x14ac:dyDescent="0.35">
      <c r="A1265">
        <v>201525</v>
      </c>
      <c r="B1265">
        <v>27</v>
      </c>
      <c r="C1265" s="1">
        <v>73188.53</v>
      </c>
      <c r="D1265">
        <v>27</v>
      </c>
      <c r="E1265" s="1">
        <v>59406.16</v>
      </c>
      <c r="F1265" s="1">
        <v>132594.69</v>
      </c>
    </row>
    <row r="1266" spans="1:6" x14ac:dyDescent="0.35">
      <c r="A1266">
        <v>201067</v>
      </c>
      <c r="B1266">
        <v>26</v>
      </c>
      <c r="C1266" s="1">
        <v>54111.32</v>
      </c>
      <c r="D1266">
        <v>38</v>
      </c>
      <c r="E1266" s="1">
        <v>78478.720000000001</v>
      </c>
      <c r="F1266" s="1">
        <v>132590.04</v>
      </c>
    </row>
    <row r="1267" spans="1:6" x14ac:dyDescent="0.35">
      <c r="A1267">
        <v>200356</v>
      </c>
      <c r="B1267">
        <v>20</v>
      </c>
      <c r="C1267" s="1">
        <v>55978</v>
      </c>
      <c r="D1267">
        <v>30</v>
      </c>
      <c r="E1267" s="1">
        <v>76587.63</v>
      </c>
      <c r="F1267" s="1">
        <v>132565.63</v>
      </c>
    </row>
    <row r="1268" spans="1:6" x14ac:dyDescent="0.35">
      <c r="A1268">
        <v>200045</v>
      </c>
      <c r="B1268">
        <v>29</v>
      </c>
      <c r="C1268" s="1">
        <v>85612.53</v>
      </c>
      <c r="D1268">
        <v>23</v>
      </c>
      <c r="E1268" s="1">
        <v>46931.28</v>
      </c>
      <c r="F1268" s="1">
        <v>132543.81</v>
      </c>
    </row>
    <row r="1269" spans="1:6" x14ac:dyDescent="0.35">
      <c r="A1269">
        <v>201307</v>
      </c>
      <c r="B1269">
        <v>26</v>
      </c>
      <c r="C1269" s="1">
        <v>62429.68</v>
      </c>
      <c r="D1269">
        <v>30</v>
      </c>
      <c r="E1269" s="1">
        <v>70063.259999999995</v>
      </c>
      <c r="F1269" s="1">
        <v>132492.94</v>
      </c>
    </row>
    <row r="1270" spans="1:6" x14ac:dyDescent="0.35">
      <c r="A1270">
        <v>200225</v>
      </c>
      <c r="B1270">
        <v>28</v>
      </c>
      <c r="C1270" s="1">
        <v>67948.479999999996</v>
      </c>
      <c r="D1270">
        <v>31</v>
      </c>
      <c r="E1270" s="1">
        <v>64532.22</v>
      </c>
      <c r="F1270" s="1">
        <v>132480.70000000001</v>
      </c>
    </row>
    <row r="1271" spans="1:6" x14ac:dyDescent="0.35">
      <c r="A1271">
        <v>201576</v>
      </c>
      <c r="B1271">
        <v>18</v>
      </c>
      <c r="C1271" s="1">
        <v>52073.4</v>
      </c>
      <c r="D1271">
        <v>29</v>
      </c>
      <c r="E1271" s="1">
        <v>80388.850000000006</v>
      </c>
      <c r="F1271" s="1">
        <v>132462.25</v>
      </c>
    </row>
    <row r="1272" spans="1:6" x14ac:dyDescent="0.35">
      <c r="A1272">
        <v>200552</v>
      </c>
      <c r="B1272">
        <v>23</v>
      </c>
      <c r="C1272" s="1">
        <v>55327.74</v>
      </c>
      <c r="D1272">
        <v>32</v>
      </c>
      <c r="E1272" s="1">
        <v>77123.710000000006</v>
      </c>
      <c r="F1272" s="1">
        <v>132451.45000000001</v>
      </c>
    </row>
    <row r="1273" spans="1:6" x14ac:dyDescent="0.35">
      <c r="A1273">
        <v>201195</v>
      </c>
      <c r="B1273">
        <v>31</v>
      </c>
      <c r="C1273" s="1">
        <v>77271.38</v>
      </c>
      <c r="D1273">
        <v>27</v>
      </c>
      <c r="E1273" s="1">
        <v>54975.14</v>
      </c>
      <c r="F1273" s="1">
        <v>132246.51999999999</v>
      </c>
    </row>
    <row r="1274" spans="1:6" x14ac:dyDescent="0.35">
      <c r="A1274">
        <v>201145</v>
      </c>
      <c r="B1274">
        <v>27</v>
      </c>
      <c r="C1274" s="1">
        <v>69597.39</v>
      </c>
      <c r="D1274">
        <v>27</v>
      </c>
      <c r="E1274" s="1">
        <v>62615.67</v>
      </c>
      <c r="F1274" s="1">
        <v>132213.06</v>
      </c>
    </row>
    <row r="1275" spans="1:6" x14ac:dyDescent="0.35">
      <c r="A1275">
        <v>200824</v>
      </c>
      <c r="B1275">
        <v>27</v>
      </c>
      <c r="C1275" s="1">
        <v>65893.399999999994</v>
      </c>
      <c r="D1275">
        <v>30</v>
      </c>
      <c r="E1275" s="1">
        <v>66299.13</v>
      </c>
      <c r="F1275" s="1">
        <v>132192.53</v>
      </c>
    </row>
    <row r="1276" spans="1:6" x14ac:dyDescent="0.35">
      <c r="A1276">
        <v>200018</v>
      </c>
      <c r="B1276">
        <v>30</v>
      </c>
      <c r="C1276" s="1">
        <v>75726.41</v>
      </c>
      <c r="D1276">
        <v>22</v>
      </c>
      <c r="E1276" s="1">
        <v>56411.06</v>
      </c>
      <c r="F1276" s="1">
        <v>132137.47</v>
      </c>
    </row>
    <row r="1277" spans="1:6" x14ac:dyDescent="0.35">
      <c r="A1277">
        <v>200966</v>
      </c>
      <c r="B1277">
        <v>24</v>
      </c>
      <c r="C1277" s="1">
        <v>54174.57</v>
      </c>
      <c r="D1277">
        <v>32</v>
      </c>
      <c r="E1277" s="1">
        <v>77929.919999999998</v>
      </c>
      <c r="F1277" s="1">
        <v>132104.49</v>
      </c>
    </row>
    <row r="1278" spans="1:6" x14ac:dyDescent="0.35">
      <c r="A1278">
        <v>201542</v>
      </c>
      <c r="B1278">
        <v>22</v>
      </c>
      <c r="C1278" s="1">
        <v>64152.639999999999</v>
      </c>
      <c r="D1278">
        <v>29</v>
      </c>
      <c r="E1278" s="1">
        <v>67946.600000000006</v>
      </c>
      <c r="F1278" s="1">
        <v>132099.24</v>
      </c>
    </row>
    <row r="1279" spans="1:6" x14ac:dyDescent="0.35">
      <c r="A1279">
        <v>201493</v>
      </c>
      <c r="B1279">
        <v>31</v>
      </c>
      <c r="C1279" s="1">
        <v>84426.53</v>
      </c>
      <c r="D1279">
        <v>20</v>
      </c>
      <c r="E1279" s="1">
        <v>47668.66</v>
      </c>
      <c r="F1279" s="1">
        <v>132095.19</v>
      </c>
    </row>
    <row r="1280" spans="1:6" x14ac:dyDescent="0.35">
      <c r="A1280">
        <v>200573</v>
      </c>
      <c r="B1280">
        <v>26</v>
      </c>
      <c r="C1280" s="1">
        <v>59349.69</v>
      </c>
      <c r="D1280">
        <v>29</v>
      </c>
      <c r="E1280" s="1">
        <v>72742.710000000006</v>
      </c>
      <c r="F1280" s="1">
        <v>132092.4</v>
      </c>
    </row>
    <row r="1281" spans="1:6" x14ac:dyDescent="0.35">
      <c r="A1281">
        <v>201201</v>
      </c>
      <c r="B1281">
        <v>29</v>
      </c>
      <c r="C1281" s="1">
        <v>70529.69</v>
      </c>
      <c r="D1281">
        <v>23</v>
      </c>
      <c r="E1281" s="1">
        <v>61441.47</v>
      </c>
      <c r="F1281" s="1">
        <v>131971.16</v>
      </c>
    </row>
    <row r="1282" spans="1:6" x14ac:dyDescent="0.35">
      <c r="A1282">
        <v>201247</v>
      </c>
      <c r="B1282">
        <v>27</v>
      </c>
      <c r="C1282" s="1">
        <v>79301.100000000006</v>
      </c>
      <c r="D1282">
        <v>26</v>
      </c>
      <c r="E1282" s="1">
        <v>52665.07</v>
      </c>
      <c r="F1282" s="1">
        <v>131966.17000000001</v>
      </c>
    </row>
    <row r="1283" spans="1:6" x14ac:dyDescent="0.35">
      <c r="A1283">
        <v>200764</v>
      </c>
      <c r="B1283">
        <v>27</v>
      </c>
      <c r="C1283" s="1">
        <v>70343.25</v>
      </c>
      <c r="D1283">
        <v>31</v>
      </c>
      <c r="E1283" s="1">
        <v>61602.8</v>
      </c>
      <c r="F1283" s="1">
        <v>131946.04999999999</v>
      </c>
    </row>
    <row r="1284" spans="1:6" x14ac:dyDescent="0.35">
      <c r="A1284">
        <v>200768</v>
      </c>
      <c r="B1284">
        <v>31</v>
      </c>
      <c r="C1284" s="1">
        <v>81339.97</v>
      </c>
      <c r="D1284">
        <v>18</v>
      </c>
      <c r="E1284" s="1">
        <v>50587.51</v>
      </c>
      <c r="F1284" s="1">
        <v>131927.48000000001</v>
      </c>
    </row>
    <row r="1285" spans="1:6" x14ac:dyDescent="0.35">
      <c r="A1285">
        <v>201625</v>
      </c>
      <c r="B1285">
        <v>30</v>
      </c>
      <c r="C1285" s="1">
        <v>71981.2</v>
      </c>
      <c r="D1285">
        <v>26</v>
      </c>
      <c r="E1285" s="1">
        <v>59777.32</v>
      </c>
      <c r="F1285" s="1">
        <v>131758.51999999999</v>
      </c>
    </row>
    <row r="1286" spans="1:6" x14ac:dyDescent="0.35">
      <c r="A1286">
        <v>201119</v>
      </c>
      <c r="B1286">
        <v>25</v>
      </c>
      <c r="C1286" s="1">
        <v>62110.19</v>
      </c>
      <c r="D1286">
        <v>25</v>
      </c>
      <c r="E1286" s="1">
        <v>69643.429999999993</v>
      </c>
      <c r="F1286" s="1">
        <v>131753.62</v>
      </c>
    </row>
    <row r="1287" spans="1:6" x14ac:dyDescent="0.35">
      <c r="A1287">
        <v>201210</v>
      </c>
      <c r="B1287">
        <v>24</v>
      </c>
      <c r="C1287" s="1">
        <v>59813.83</v>
      </c>
      <c r="D1287">
        <v>31</v>
      </c>
      <c r="E1287" s="1">
        <v>71930.850000000006</v>
      </c>
      <c r="F1287" s="1">
        <v>131744.68</v>
      </c>
    </row>
    <row r="1288" spans="1:6" x14ac:dyDescent="0.35">
      <c r="A1288">
        <v>201598</v>
      </c>
      <c r="B1288">
        <v>30</v>
      </c>
      <c r="C1288" s="1">
        <v>66849.960000000006</v>
      </c>
      <c r="D1288">
        <v>24</v>
      </c>
      <c r="E1288" s="1">
        <v>64891.38</v>
      </c>
      <c r="F1288" s="1">
        <v>131741.34</v>
      </c>
    </row>
    <row r="1289" spans="1:6" x14ac:dyDescent="0.35">
      <c r="A1289">
        <v>201183</v>
      </c>
      <c r="B1289">
        <v>23</v>
      </c>
      <c r="C1289" s="1">
        <v>60064.07</v>
      </c>
      <c r="D1289">
        <v>26</v>
      </c>
      <c r="E1289" s="1">
        <v>71652.83</v>
      </c>
      <c r="F1289" s="1">
        <v>131716.9</v>
      </c>
    </row>
    <row r="1290" spans="1:6" x14ac:dyDescent="0.35">
      <c r="A1290">
        <v>201253</v>
      </c>
      <c r="B1290">
        <v>29</v>
      </c>
      <c r="C1290" s="1">
        <v>66315.05</v>
      </c>
      <c r="D1290">
        <v>27</v>
      </c>
      <c r="E1290" s="1">
        <v>65320.99</v>
      </c>
      <c r="F1290" s="1">
        <v>131636.04</v>
      </c>
    </row>
    <row r="1291" spans="1:6" x14ac:dyDescent="0.35">
      <c r="A1291">
        <v>200282</v>
      </c>
      <c r="B1291">
        <v>25</v>
      </c>
      <c r="C1291" s="1">
        <v>54478.14</v>
      </c>
      <c r="D1291">
        <v>25</v>
      </c>
      <c r="E1291" s="1">
        <v>77148.58</v>
      </c>
      <c r="F1291" s="1">
        <v>131626.72</v>
      </c>
    </row>
    <row r="1292" spans="1:6" x14ac:dyDescent="0.35">
      <c r="A1292">
        <v>201275</v>
      </c>
      <c r="B1292">
        <v>26</v>
      </c>
      <c r="C1292" s="1">
        <v>67730.929999999993</v>
      </c>
      <c r="D1292">
        <v>22</v>
      </c>
      <c r="E1292" s="1">
        <v>63651.79</v>
      </c>
      <c r="F1292" s="1">
        <v>131382.72</v>
      </c>
    </row>
    <row r="1293" spans="1:6" x14ac:dyDescent="0.35">
      <c r="A1293">
        <v>200560</v>
      </c>
      <c r="B1293">
        <v>21</v>
      </c>
      <c r="C1293" s="1">
        <v>61472.65</v>
      </c>
      <c r="D1293">
        <v>25</v>
      </c>
      <c r="E1293" s="1">
        <v>69785.070000000007</v>
      </c>
      <c r="F1293" s="1">
        <v>131257.72</v>
      </c>
    </row>
    <row r="1294" spans="1:6" x14ac:dyDescent="0.35">
      <c r="A1294">
        <v>200972</v>
      </c>
      <c r="B1294">
        <v>24</v>
      </c>
      <c r="C1294" s="1">
        <v>55919.15</v>
      </c>
      <c r="D1294">
        <v>27</v>
      </c>
      <c r="E1294" s="1">
        <v>75308.78</v>
      </c>
      <c r="F1294" s="1">
        <v>131227.93</v>
      </c>
    </row>
    <row r="1295" spans="1:6" x14ac:dyDescent="0.35">
      <c r="A1295">
        <v>200136</v>
      </c>
      <c r="B1295">
        <v>30</v>
      </c>
      <c r="C1295" s="1">
        <v>81014.039999999994</v>
      </c>
      <c r="D1295">
        <v>21</v>
      </c>
      <c r="E1295" s="1">
        <v>50212.7</v>
      </c>
      <c r="F1295" s="1">
        <v>131226.74</v>
      </c>
    </row>
    <row r="1296" spans="1:6" x14ac:dyDescent="0.35">
      <c r="A1296">
        <v>200843</v>
      </c>
      <c r="B1296">
        <v>23</v>
      </c>
      <c r="C1296" s="1">
        <v>59682.77</v>
      </c>
      <c r="D1296">
        <v>28</v>
      </c>
      <c r="E1296" s="1">
        <v>71539.759999999995</v>
      </c>
      <c r="F1296" s="1">
        <v>131222.53</v>
      </c>
    </row>
    <row r="1297" spans="1:6" x14ac:dyDescent="0.35">
      <c r="A1297">
        <v>201600</v>
      </c>
      <c r="B1297">
        <v>32</v>
      </c>
      <c r="C1297" s="1">
        <v>71313</v>
      </c>
      <c r="D1297">
        <v>28</v>
      </c>
      <c r="E1297" s="1">
        <v>59867.97</v>
      </c>
      <c r="F1297" s="1">
        <v>131180.97</v>
      </c>
    </row>
    <row r="1298" spans="1:6" x14ac:dyDescent="0.35">
      <c r="A1298">
        <v>200246</v>
      </c>
      <c r="B1298">
        <v>30</v>
      </c>
      <c r="C1298" s="1">
        <v>58696.6</v>
      </c>
      <c r="D1298">
        <v>28</v>
      </c>
      <c r="E1298" s="1">
        <v>72466.28</v>
      </c>
      <c r="F1298" s="1">
        <v>131162.88</v>
      </c>
    </row>
    <row r="1299" spans="1:6" x14ac:dyDescent="0.35">
      <c r="A1299">
        <v>200148</v>
      </c>
      <c r="B1299">
        <v>30</v>
      </c>
      <c r="C1299" s="1">
        <v>62867.83</v>
      </c>
      <c r="D1299">
        <v>29</v>
      </c>
      <c r="E1299" s="1">
        <v>68261.919999999998</v>
      </c>
      <c r="F1299" s="1">
        <v>131129.75</v>
      </c>
    </row>
    <row r="1300" spans="1:6" x14ac:dyDescent="0.35">
      <c r="A1300">
        <v>201351</v>
      </c>
      <c r="B1300">
        <v>28</v>
      </c>
      <c r="C1300" s="1">
        <v>74745.31</v>
      </c>
      <c r="D1300">
        <v>27</v>
      </c>
      <c r="E1300" s="1">
        <v>56334.28</v>
      </c>
      <c r="F1300" s="1">
        <v>131079.59</v>
      </c>
    </row>
    <row r="1301" spans="1:6" x14ac:dyDescent="0.35">
      <c r="A1301">
        <v>200910</v>
      </c>
      <c r="B1301">
        <v>19</v>
      </c>
      <c r="C1301" s="1">
        <v>51932.04</v>
      </c>
      <c r="D1301">
        <v>31</v>
      </c>
      <c r="E1301" s="1">
        <v>79117.84</v>
      </c>
      <c r="F1301" s="1">
        <v>131049.88</v>
      </c>
    </row>
    <row r="1302" spans="1:6" x14ac:dyDescent="0.35">
      <c r="A1302">
        <v>201450</v>
      </c>
      <c r="B1302">
        <v>24</v>
      </c>
      <c r="C1302" s="1">
        <v>66486.710000000006</v>
      </c>
      <c r="D1302">
        <v>27</v>
      </c>
      <c r="E1302" s="1">
        <v>64531.26</v>
      </c>
      <c r="F1302" s="1">
        <v>131017.97</v>
      </c>
    </row>
    <row r="1303" spans="1:6" x14ac:dyDescent="0.35">
      <c r="A1303">
        <v>201448</v>
      </c>
      <c r="B1303">
        <v>25</v>
      </c>
      <c r="C1303" s="1">
        <v>61345.279999999999</v>
      </c>
      <c r="D1303">
        <v>30</v>
      </c>
      <c r="E1303" s="1">
        <v>69663.490000000005</v>
      </c>
      <c r="F1303" s="1">
        <v>131008.77</v>
      </c>
    </row>
    <row r="1304" spans="1:6" x14ac:dyDescent="0.35">
      <c r="A1304">
        <v>201326</v>
      </c>
      <c r="B1304">
        <v>28</v>
      </c>
      <c r="C1304" s="1">
        <v>52082.32</v>
      </c>
      <c r="D1304">
        <v>34</v>
      </c>
      <c r="E1304" s="1">
        <v>78884.960000000006</v>
      </c>
      <c r="F1304" s="1">
        <v>130967.28</v>
      </c>
    </row>
    <row r="1305" spans="1:6" x14ac:dyDescent="0.35">
      <c r="A1305">
        <v>201167</v>
      </c>
      <c r="B1305">
        <v>30</v>
      </c>
      <c r="C1305" s="1">
        <v>76186.95</v>
      </c>
      <c r="D1305">
        <v>26</v>
      </c>
      <c r="E1305" s="1">
        <v>54773.05</v>
      </c>
      <c r="F1305" s="1">
        <v>130960</v>
      </c>
    </row>
    <row r="1306" spans="1:6" x14ac:dyDescent="0.35">
      <c r="A1306">
        <v>200570</v>
      </c>
      <c r="B1306">
        <v>33</v>
      </c>
      <c r="C1306" s="1">
        <v>82821.91</v>
      </c>
      <c r="D1306">
        <v>22</v>
      </c>
      <c r="E1306" s="1">
        <v>48063.98</v>
      </c>
      <c r="F1306" s="1">
        <v>130885.89</v>
      </c>
    </row>
    <row r="1307" spans="1:6" x14ac:dyDescent="0.35">
      <c r="A1307">
        <v>200964</v>
      </c>
      <c r="B1307">
        <v>35</v>
      </c>
      <c r="C1307" s="1">
        <v>86976.83</v>
      </c>
      <c r="D1307">
        <v>24</v>
      </c>
      <c r="E1307" s="1">
        <v>43907.839999999997</v>
      </c>
      <c r="F1307" s="1">
        <v>130884.67</v>
      </c>
    </row>
    <row r="1308" spans="1:6" x14ac:dyDescent="0.35">
      <c r="A1308">
        <v>201083</v>
      </c>
      <c r="B1308">
        <v>25</v>
      </c>
      <c r="C1308" s="1">
        <v>52583.42</v>
      </c>
      <c r="D1308">
        <v>31</v>
      </c>
      <c r="E1308" s="1">
        <v>78286.080000000002</v>
      </c>
      <c r="F1308" s="1">
        <v>130869.5</v>
      </c>
    </row>
    <row r="1309" spans="1:6" x14ac:dyDescent="0.35">
      <c r="A1309">
        <v>200054</v>
      </c>
      <c r="B1309">
        <v>26</v>
      </c>
      <c r="C1309" s="1">
        <v>65792.31</v>
      </c>
      <c r="D1309">
        <v>27</v>
      </c>
      <c r="E1309" s="1">
        <v>65075.44</v>
      </c>
      <c r="F1309" s="1">
        <v>130867.75</v>
      </c>
    </row>
    <row r="1310" spans="1:6" x14ac:dyDescent="0.35">
      <c r="A1310">
        <v>200889</v>
      </c>
      <c r="B1310">
        <v>24</v>
      </c>
      <c r="C1310" s="1">
        <v>61679.4</v>
      </c>
      <c r="D1310">
        <v>30</v>
      </c>
      <c r="E1310" s="1">
        <v>69154.02</v>
      </c>
      <c r="F1310" s="1">
        <v>130833.42</v>
      </c>
    </row>
    <row r="1311" spans="1:6" x14ac:dyDescent="0.35">
      <c r="A1311">
        <v>201577</v>
      </c>
      <c r="B1311">
        <v>22</v>
      </c>
      <c r="C1311" s="1">
        <v>58197.64</v>
      </c>
      <c r="D1311">
        <v>26</v>
      </c>
      <c r="E1311" s="1">
        <v>72618.61</v>
      </c>
      <c r="F1311" s="1">
        <v>130816.25</v>
      </c>
    </row>
    <row r="1312" spans="1:6" x14ac:dyDescent="0.35">
      <c r="A1312">
        <v>200937</v>
      </c>
      <c r="B1312">
        <v>27</v>
      </c>
      <c r="C1312" s="1">
        <v>72218.89</v>
      </c>
      <c r="D1312">
        <v>21</v>
      </c>
      <c r="E1312" s="1">
        <v>58562.38</v>
      </c>
      <c r="F1312" s="1">
        <v>130781.269999999</v>
      </c>
    </row>
    <row r="1313" spans="1:6" x14ac:dyDescent="0.35">
      <c r="A1313">
        <v>201306</v>
      </c>
      <c r="B1313">
        <v>25</v>
      </c>
      <c r="C1313" s="1">
        <v>82144.06</v>
      </c>
      <c r="D1313">
        <v>23</v>
      </c>
      <c r="E1313" s="1">
        <v>48614.559999999998</v>
      </c>
      <c r="F1313" s="1">
        <v>130758.62</v>
      </c>
    </row>
    <row r="1314" spans="1:6" x14ac:dyDescent="0.35">
      <c r="A1314">
        <v>200072</v>
      </c>
      <c r="B1314">
        <v>32</v>
      </c>
      <c r="C1314" s="1">
        <v>70998.210000000006</v>
      </c>
      <c r="D1314">
        <v>25</v>
      </c>
      <c r="E1314" s="1">
        <v>59732.98</v>
      </c>
      <c r="F1314" s="1">
        <v>130731.19</v>
      </c>
    </row>
    <row r="1315" spans="1:6" x14ac:dyDescent="0.35">
      <c r="A1315">
        <v>201591</v>
      </c>
      <c r="B1315">
        <v>31</v>
      </c>
      <c r="C1315" s="1">
        <v>65083.44</v>
      </c>
      <c r="D1315">
        <v>32</v>
      </c>
      <c r="E1315" s="1">
        <v>65583.990000000005</v>
      </c>
      <c r="F1315" s="1">
        <v>130667.43</v>
      </c>
    </row>
    <row r="1316" spans="1:6" x14ac:dyDescent="0.35">
      <c r="A1316">
        <v>201366</v>
      </c>
      <c r="B1316">
        <v>39</v>
      </c>
      <c r="C1316" s="1">
        <v>78933.759999999995</v>
      </c>
      <c r="D1316">
        <v>19</v>
      </c>
      <c r="E1316" s="1">
        <v>51683.92</v>
      </c>
      <c r="F1316" s="1">
        <v>130617.68</v>
      </c>
    </row>
    <row r="1317" spans="1:6" x14ac:dyDescent="0.35">
      <c r="A1317">
        <v>201070</v>
      </c>
      <c r="B1317">
        <v>25</v>
      </c>
      <c r="C1317" s="1">
        <v>61500.57</v>
      </c>
      <c r="D1317">
        <v>28</v>
      </c>
      <c r="E1317" s="1">
        <v>69114.720000000001</v>
      </c>
      <c r="F1317" s="1">
        <v>130615.29</v>
      </c>
    </row>
    <row r="1318" spans="1:6" x14ac:dyDescent="0.35">
      <c r="A1318">
        <v>201134</v>
      </c>
      <c r="B1318">
        <v>20</v>
      </c>
      <c r="C1318" s="1">
        <v>57297.17</v>
      </c>
      <c r="D1318">
        <v>30</v>
      </c>
      <c r="E1318" s="1">
        <v>73266.69</v>
      </c>
      <c r="F1318" s="1">
        <v>130563.86</v>
      </c>
    </row>
    <row r="1319" spans="1:6" x14ac:dyDescent="0.35">
      <c r="A1319">
        <v>201186</v>
      </c>
      <c r="B1319">
        <v>21</v>
      </c>
      <c r="C1319" s="1">
        <v>51869.9</v>
      </c>
      <c r="D1319">
        <v>36</v>
      </c>
      <c r="E1319" s="1">
        <v>78667.89</v>
      </c>
      <c r="F1319" s="1">
        <v>130537.79</v>
      </c>
    </row>
    <row r="1320" spans="1:6" x14ac:dyDescent="0.35">
      <c r="A1320">
        <v>200706</v>
      </c>
      <c r="B1320">
        <v>24</v>
      </c>
      <c r="C1320" s="1">
        <v>61595.68</v>
      </c>
      <c r="D1320">
        <v>26</v>
      </c>
      <c r="E1320" s="1">
        <v>68844.100000000006</v>
      </c>
      <c r="F1320" s="1">
        <v>130439.78</v>
      </c>
    </row>
    <row r="1321" spans="1:6" x14ac:dyDescent="0.35">
      <c r="A1321">
        <v>200881</v>
      </c>
      <c r="B1321">
        <v>21</v>
      </c>
      <c r="C1321" s="1">
        <v>51953.57</v>
      </c>
      <c r="D1321">
        <v>36</v>
      </c>
      <c r="E1321" s="1">
        <v>78484.25</v>
      </c>
      <c r="F1321" s="1">
        <v>130437.82</v>
      </c>
    </row>
    <row r="1322" spans="1:6" x14ac:dyDescent="0.35">
      <c r="A1322">
        <v>201204</v>
      </c>
      <c r="B1322">
        <v>30</v>
      </c>
      <c r="C1322" s="1">
        <v>70620.62</v>
      </c>
      <c r="D1322">
        <v>27</v>
      </c>
      <c r="E1322" s="1">
        <v>59798.22</v>
      </c>
      <c r="F1322" s="1">
        <v>130418.84</v>
      </c>
    </row>
    <row r="1323" spans="1:6" x14ac:dyDescent="0.35">
      <c r="A1323">
        <v>200129</v>
      </c>
      <c r="B1323">
        <v>24</v>
      </c>
      <c r="C1323" s="1">
        <v>65097.16</v>
      </c>
      <c r="D1323">
        <v>29</v>
      </c>
      <c r="E1323" s="1">
        <v>65312.05</v>
      </c>
      <c r="F1323" s="1">
        <v>130409.21</v>
      </c>
    </row>
    <row r="1324" spans="1:6" x14ac:dyDescent="0.35">
      <c r="A1324">
        <v>201106</v>
      </c>
      <c r="B1324">
        <v>30</v>
      </c>
      <c r="C1324" s="1">
        <v>80509.039999999994</v>
      </c>
      <c r="D1324">
        <v>21</v>
      </c>
      <c r="E1324" s="1">
        <v>49898.45</v>
      </c>
      <c r="F1324" s="1">
        <v>130407.489999999</v>
      </c>
    </row>
    <row r="1325" spans="1:6" x14ac:dyDescent="0.35">
      <c r="A1325">
        <v>200422</v>
      </c>
      <c r="B1325">
        <v>30</v>
      </c>
      <c r="C1325" s="1">
        <v>81258.78</v>
      </c>
      <c r="D1325">
        <v>29</v>
      </c>
      <c r="E1325" s="1">
        <v>49112</v>
      </c>
      <c r="F1325" s="1">
        <v>130370.78</v>
      </c>
    </row>
    <row r="1326" spans="1:6" x14ac:dyDescent="0.35">
      <c r="A1326">
        <v>201510</v>
      </c>
      <c r="B1326">
        <v>26</v>
      </c>
      <c r="C1326" s="1">
        <v>60497.63</v>
      </c>
      <c r="D1326">
        <v>32</v>
      </c>
      <c r="E1326" s="1">
        <v>69857.7</v>
      </c>
      <c r="F1326" s="1">
        <v>130355.329999999</v>
      </c>
    </row>
    <row r="1327" spans="1:6" x14ac:dyDescent="0.35">
      <c r="A1327">
        <v>200439</v>
      </c>
      <c r="B1327">
        <v>33</v>
      </c>
      <c r="C1327" s="1">
        <v>76292.87</v>
      </c>
      <c r="D1327">
        <v>22</v>
      </c>
      <c r="E1327" s="1">
        <v>54037.97</v>
      </c>
      <c r="F1327" s="1">
        <v>130330.84</v>
      </c>
    </row>
    <row r="1328" spans="1:6" x14ac:dyDescent="0.35">
      <c r="A1328">
        <v>200113</v>
      </c>
      <c r="B1328">
        <v>27</v>
      </c>
      <c r="C1328" s="1">
        <v>72147.520000000004</v>
      </c>
      <c r="D1328">
        <v>22</v>
      </c>
      <c r="E1328" s="1">
        <v>58095.28</v>
      </c>
      <c r="F1328" s="1">
        <v>130242.8</v>
      </c>
    </row>
    <row r="1329" spans="1:6" x14ac:dyDescent="0.35">
      <c r="A1329">
        <v>201463</v>
      </c>
      <c r="B1329">
        <v>29</v>
      </c>
      <c r="C1329" s="1">
        <v>76882.509999999995</v>
      </c>
      <c r="D1329">
        <v>22</v>
      </c>
      <c r="E1329" s="1">
        <v>53351.41</v>
      </c>
      <c r="F1329" s="1">
        <v>130233.92</v>
      </c>
    </row>
    <row r="1330" spans="1:6" x14ac:dyDescent="0.35">
      <c r="A1330">
        <v>200563</v>
      </c>
      <c r="B1330">
        <v>35</v>
      </c>
      <c r="C1330" s="1">
        <v>83110.48</v>
      </c>
      <c r="D1330">
        <v>20</v>
      </c>
      <c r="E1330" s="1">
        <v>47091.15</v>
      </c>
      <c r="F1330" s="1">
        <v>130201.63</v>
      </c>
    </row>
    <row r="1331" spans="1:6" x14ac:dyDescent="0.35">
      <c r="A1331">
        <v>200182</v>
      </c>
      <c r="B1331">
        <v>24</v>
      </c>
      <c r="C1331" s="1">
        <v>61321.51</v>
      </c>
      <c r="D1331">
        <v>29</v>
      </c>
      <c r="E1331" s="1">
        <v>68876.149999999994</v>
      </c>
      <c r="F1331" s="1">
        <v>130197.66</v>
      </c>
    </row>
    <row r="1332" spans="1:6" x14ac:dyDescent="0.35">
      <c r="A1332">
        <v>201003</v>
      </c>
      <c r="B1332">
        <v>28</v>
      </c>
      <c r="C1332" s="1">
        <v>71846.78</v>
      </c>
      <c r="D1332">
        <v>26</v>
      </c>
      <c r="E1332" s="1">
        <v>58326.59</v>
      </c>
      <c r="F1332" s="1">
        <v>130173.37</v>
      </c>
    </row>
    <row r="1333" spans="1:6" x14ac:dyDescent="0.35">
      <c r="A1333">
        <v>201270</v>
      </c>
      <c r="B1333">
        <v>25</v>
      </c>
      <c r="C1333" s="1">
        <v>68528.600000000006</v>
      </c>
      <c r="D1333">
        <v>25</v>
      </c>
      <c r="E1333" s="1">
        <v>61623.01</v>
      </c>
      <c r="F1333" s="1">
        <v>130151.61</v>
      </c>
    </row>
    <row r="1334" spans="1:6" x14ac:dyDescent="0.35">
      <c r="A1334">
        <v>200624</v>
      </c>
      <c r="B1334">
        <v>28</v>
      </c>
      <c r="C1334" s="1">
        <v>71662.28</v>
      </c>
      <c r="D1334">
        <v>26</v>
      </c>
      <c r="E1334" s="1">
        <v>58422.5</v>
      </c>
      <c r="F1334" s="1">
        <v>130084.78</v>
      </c>
    </row>
    <row r="1335" spans="1:6" x14ac:dyDescent="0.35">
      <c r="A1335">
        <v>201521</v>
      </c>
      <c r="B1335">
        <v>25</v>
      </c>
      <c r="C1335" s="1">
        <v>62988.68</v>
      </c>
      <c r="D1335">
        <v>24</v>
      </c>
      <c r="E1335" s="1">
        <v>67072.11</v>
      </c>
      <c r="F1335" s="1">
        <v>130060.79</v>
      </c>
    </row>
    <row r="1336" spans="1:6" x14ac:dyDescent="0.35">
      <c r="A1336">
        <v>200887</v>
      </c>
      <c r="B1336">
        <v>30</v>
      </c>
      <c r="C1336" s="1">
        <v>77131.08</v>
      </c>
      <c r="D1336">
        <v>21</v>
      </c>
      <c r="E1336" s="1">
        <v>52868.17</v>
      </c>
      <c r="F1336" s="1">
        <v>129999.25</v>
      </c>
    </row>
    <row r="1337" spans="1:6" x14ac:dyDescent="0.35">
      <c r="A1337">
        <v>201352</v>
      </c>
      <c r="B1337">
        <v>29</v>
      </c>
      <c r="C1337" s="1">
        <v>55489.78</v>
      </c>
      <c r="D1337">
        <v>30</v>
      </c>
      <c r="E1337" s="1">
        <v>74353.02</v>
      </c>
      <c r="F1337" s="1">
        <v>129842.8</v>
      </c>
    </row>
    <row r="1338" spans="1:6" x14ac:dyDescent="0.35">
      <c r="A1338">
        <v>201257</v>
      </c>
      <c r="B1338">
        <v>34</v>
      </c>
      <c r="C1338" s="1">
        <v>78439.679999999993</v>
      </c>
      <c r="D1338">
        <v>25</v>
      </c>
      <c r="E1338" s="1">
        <v>51390.13</v>
      </c>
      <c r="F1338" s="1">
        <v>129829.81</v>
      </c>
    </row>
    <row r="1339" spans="1:6" x14ac:dyDescent="0.35">
      <c r="A1339">
        <v>201069</v>
      </c>
      <c r="B1339">
        <v>31</v>
      </c>
      <c r="C1339" s="1">
        <v>63749.84</v>
      </c>
      <c r="D1339">
        <v>27</v>
      </c>
      <c r="E1339" s="1">
        <v>65911.520000000004</v>
      </c>
      <c r="F1339" s="1">
        <v>129661.36</v>
      </c>
    </row>
    <row r="1340" spans="1:6" x14ac:dyDescent="0.35">
      <c r="A1340">
        <v>201423</v>
      </c>
      <c r="B1340">
        <v>29</v>
      </c>
      <c r="C1340" s="1">
        <v>53945.13</v>
      </c>
      <c r="D1340">
        <v>32</v>
      </c>
      <c r="E1340" s="1">
        <v>75636.78</v>
      </c>
      <c r="F1340" s="1">
        <v>129581.91</v>
      </c>
    </row>
    <row r="1341" spans="1:6" x14ac:dyDescent="0.35">
      <c r="A1341">
        <v>200115</v>
      </c>
      <c r="B1341">
        <v>33</v>
      </c>
      <c r="C1341" s="1">
        <v>77439.47</v>
      </c>
      <c r="D1341">
        <v>25</v>
      </c>
      <c r="E1341" s="1">
        <v>52115.05</v>
      </c>
      <c r="F1341" s="1">
        <v>129554.52</v>
      </c>
    </row>
    <row r="1342" spans="1:6" x14ac:dyDescent="0.35">
      <c r="A1342">
        <v>201358</v>
      </c>
      <c r="B1342">
        <v>24</v>
      </c>
      <c r="C1342" s="1">
        <v>61359.83</v>
      </c>
      <c r="D1342">
        <v>32</v>
      </c>
      <c r="E1342" s="1">
        <v>68093.33</v>
      </c>
      <c r="F1342" s="1">
        <v>129453.16</v>
      </c>
    </row>
    <row r="1343" spans="1:6" x14ac:dyDescent="0.35">
      <c r="A1343">
        <v>200715</v>
      </c>
      <c r="B1343">
        <v>23</v>
      </c>
      <c r="C1343" s="1">
        <v>47568.35</v>
      </c>
      <c r="D1343">
        <v>28</v>
      </c>
      <c r="E1343" s="1">
        <v>81846.929999999993</v>
      </c>
      <c r="F1343" s="1">
        <v>129415.28</v>
      </c>
    </row>
    <row r="1344" spans="1:6" x14ac:dyDescent="0.35">
      <c r="A1344">
        <v>201219</v>
      </c>
      <c r="B1344">
        <v>31</v>
      </c>
      <c r="C1344" s="1">
        <v>67183.91</v>
      </c>
      <c r="D1344">
        <v>27</v>
      </c>
      <c r="E1344" s="1">
        <v>62219.88</v>
      </c>
      <c r="F1344" s="1">
        <v>129403.79</v>
      </c>
    </row>
    <row r="1345" spans="1:6" x14ac:dyDescent="0.35">
      <c r="A1345">
        <v>200426</v>
      </c>
      <c r="B1345">
        <v>21</v>
      </c>
      <c r="C1345" s="1">
        <v>51113.34</v>
      </c>
      <c r="D1345">
        <v>29</v>
      </c>
      <c r="E1345" s="1">
        <v>77979.64</v>
      </c>
      <c r="F1345" s="1">
        <v>129092.98</v>
      </c>
    </row>
    <row r="1346" spans="1:6" x14ac:dyDescent="0.35">
      <c r="A1346">
        <v>201561</v>
      </c>
      <c r="B1346">
        <v>27</v>
      </c>
      <c r="C1346" s="1">
        <v>81886</v>
      </c>
      <c r="D1346">
        <v>27</v>
      </c>
      <c r="E1346" s="1">
        <v>47135.07</v>
      </c>
      <c r="F1346" s="1">
        <v>129021.07</v>
      </c>
    </row>
    <row r="1347" spans="1:6" x14ac:dyDescent="0.35">
      <c r="A1347">
        <v>201338</v>
      </c>
      <c r="B1347">
        <v>28</v>
      </c>
      <c r="C1347" s="1">
        <v>73639.710000000006</v>
      </c>
      <c r="D1347">
        <v>22</v>
      </c>
      <c r="E1347" s="1">
        <v>55353.71</v>
      </c>
      <c r="F1347" s="1">
        <v>128993.42</v>
      </c>
    </row>
    <row r="1348" spans="1:6" x14ac:dyDescent="0.35">
      <c r="A1348">
        <v>201445</v>
      </c>
      <c r="B1348">
        <v>27</v>
      </c>
      <c r="C1348" s="1">
        <v>67984.679999999993</v>
      </c>
      <c r="D1348">
        <v>23</v>
      </c>
      <c r="E1348" s="1">
        <v>60970.81</v>
      </c>
      <c r="F1348" s="1">
        <v>128955.489999999</v>
      </c>
    </row>
    <row r="1349" spans="1:6" x14ac:dyDescent="0.35">
      <c r="A1349">
        <v>200731</v>
      </c>
      <c r="B1349">
        <v>26</v>
      </c>
      <c r="C1349" s="1">
        <v>62134.62</v>
      </c>
      <c r="D1349">
        <v>29</v>
      </c>
      <c r="E1349" s="1">
        <v>66807.649999999994</v>
      </c>
      <c r="F1349" s="1">
        <v>128942.269999999</v>
      </c>
    </row>
    <row r="1350" spans="1:6" x14ac:dyDescent="0.35">
      <c r="A1350">
        <v>200056</v>
      </c>
      <c r="B1350">
        <v>19</v>
      </c>
      <c r="C1350" s="1">
        <v>42908.21</v>
      </c>
      <c r="D1350">
        <v>33</v>
      </c>
      <c r="E1350" s="1">
        <v>86014.64</v>
      </c>
      <c r="F1350" s="1">
        <v>128922.85</v>
      </c>
    </row>
    <row r="1351" spans="1:6" x14ac:dyDescent="0.35">
      <c r="A1351">
        <v>200961</v>
      </c>
      <c r="B1351">
        <v>22</v>
      </c>
      <c r="C1351" s="1">
        <v>67134.16</v>
      </c>
      <c r="D1351">
        <v>23</v>
      </c>
      <c r="E1351" s="1">
        <v>61775.25</v>
      </c>
      <c r="F1351" s="1">
        <v>128909.41</v>
      </c>
    </row>
    <row r="1352" spans="1:6" x14ac:dyDescent="0.35">
      <c r="A1352">
        <v>200049</v>
      </c>
      <c r="B1352">
        <v>21</v>
      </c>
      <c r="C1352" s="1">
        <v>66496.289999999994</v>
      </c>
      <c r="D1352">
        <v>24</v>
      </c>
      <c r="E1352" s="1">
        <v>62392.639999999999</v>
      </c>
      <c r="F1352" s="1">
        <v>128888.93</v>
      </c>
    </row>
    <row r="1353" spans="1:6" x14ac:dyDescent="0.35">
      <c r="A1353">
        <v>200982</v>
      </c>
      <c r="B1353">
        <v>29</v>
      </c>
      <c r="C1353" s="1">
        <v>77207.61</v>
      </c>
      <c r="D1353">
        <v>20</v>
      </c>
      <c r="E1353" s="1">
        <v>51677.55</v>
      </c>
      <c r="F1353" s="1">
        <v>128885.16</v>
      </c>
    </row>
    <row r="1354" spans="1:6" x14ac:dyDescent="0.35">
      <c r="A1354">
        <v>201170</v>
      </c>
      <c r="B1354">
        <v>25</v>
      </c>
      <c r="C1354" s="1">
        <v>64817.440000000002</v>
      </c>
      <c r="D1354">
        <v>28</v>
      </c>
      <c r="E1354" s="1">
        <v>64059.02</v>
      </c>
      <c r="F1354" s="1">
        <v>128876.459999999</v>
      </c>
    </row>
    <row r="1355" spans="1:6" x14ac:dyDescent="0.35">
      <c r="A1355">
        <v>200222</v>
      </c>
      <c r="B1355">
        <v>23</v>
      </c>
      <c r="C1355" s="1">
        <v>47869.63</v>
      </c>
      <c r="D1355">
        <v>33</v>
      </c>
      <c r="E1355" s="1">
        <v>80997.11</v>
      </c>
      <c r="F1355" s="1">
        <v>128866.739999999</v>
      </c>
    </row>
    <row r="1356" spans="1:6" x14ac:dyDescent="0.35">
      <c r="A1356">
        <v>200091</v>
      </c>
      <c r="B1356">
        <v>24</v>
      </c>
      <c r="C1356" s="1">
        <v>59290.67</v>
      </c>
      <c r="D1356">
        <v>30</v>
      </c>
      <c r="E1356" s="1">
        <v>69575.34</v>
      </c>
      <c r="F1356" s="1">
        <v>128866.01</v>
      </c>
    </row>
    <row r="1357" spans="1:6" x14ac:dyDescent="0.35">
      <c r="A1357">
        <v>200963</v>
      </c>
      <c r="B1357">
        <v>35</v>
      </c>
      <c r="C1357" s="1">
        <v>62202.77</v>
      </c>
      <c r="D1357">
        <v>27</v>
      </c>
      <c r="E1357" s="1">
        <v>66571</v>
      </c>
      <c r="F1357" s="1">
        <v>128773.769999999</v>
      </c>
    </row>
    <row r="1358" spans="1:6" x14ac:dyDescent="0.35">
      <c r="A1358">
        <v>201551</v>
      </c>
      <c r="B1358">
        <v>31</v>
      </c>
      <c r="C1358" s="1">
        <v>60111.17</v>
      </c>
      <c r="D1358">
        <v>25</v>
      </c>
      <c r="E1358" s="1">
        <v>68657.119999999995</v>
      </c>
      <c r="F1358" s="1">
        <v>128768.29</v>
      </c>
    </row>
    <row r="1359" spans="1:6" x14ac:dyDescent="0.35">
      <c r="A1359">
        <v>200888</v>
      </c>
      <c r="B1359">
        <v>24</v>
      </c>
      <c r="C1359" s="1">
        <v>61821.48</v>
      </c>
      <c r="D1359">
        <v>25</v>
      </c>
      <c r="E1359" s="1">
        <v>66915.61</v>
      </c>
      <c r="F1359" s="1">
        <v>128737.09</v>
      </c>
    </row>
    <row r="1360" spans="1:6" x14ac:dyDescent="0.35">
      <c r="A1360">
        <v>201182</v>
      </c>
      <c r="B1360">
        <v>22</v>
      </c>
      <c r="C1360" s="1">
        <v>62023.37</v>
      </c>
      <c r="D1360">
        <v>23</v>
      </c>
      <c r="E1360" s="1">
        <v>66703.3</v>
      </c>
      <c r="F1360" s="1">
        <v>128726.67</v>
      </c>
    </row>
    <row r="1361" spans="1:6" x14ac:dyDescent="0.35">
      <c r="A1361">
        <v>200516</v>
      </c>
      <c r="B1361">
        <v>22</v>
      </c>
      <c r="C1361" s="1">
        <v>59601.02</v>
      </c>
      <c r="D1361">
        <v>26</v>
      </c>
      <c r="E1361" s="1">
        <v>68977.66</v>
      </c>
      <c r="F1361" s="1">
        <v>128578.68</v>
      </c>
    </row>
    <row r="1362" spans="1:6" x14ac:dyDescent="0.35">
      <c r="A1362">
        <v>200588</v>
      </c>
      <c r="B1362">
        <v>29</v>
      </c>
      <c r="C1362" s="1">
        <v>62941.91</v>
      </c>
      <c r="D1362">
        <v>26</v>
      </c>
      <c r="E1362" s="1">
        <v>65601.119999999995</v>
      </c>
      <c r="F1362" s="1">
        <v>128543.03</v>
      </c>
    </row>
    <row r="1363" spans="1:6" x14ac:dyDescent="0.35">
      <c r="A1363">
        <v>200748</v>
      </c>
      <c r="B1363">
        <v>30</v>
      </c>
      <c r="C1363" s="1">
        <v>76790.36</v>
      </c>
      <c r="D1363">
        <v>21</v>
      </c>
      <c r="E1363" s="1">
        <v>51740.95</v>
      </c>
      <c r="F1363" s="1">
        <v>128531.31</v>
      </c>
    </row>
    <row r="1364" spans="1:6" x14ac:dyDescent="0.35">
      <c r="A1364">
        <v>200141</v>
      </c>
      <c r="B1364">
        <v>19</v>
      </c>
      <c r="C1364" s="1">
        <v>46298.84</v>
      </c>
      <c r="D1364">
        <v>37</v>
      </c>
      <c r="E1364" s="1">
        <v>82231.39</v>
      </c>
      <c r="F1364" s="1">
        <v>128530.23</v>
      </c>
    </row>
    <row r="1365" spans="1:6" x14ac:dyDescent="0.35">
      <c r="A1365">
        <v>200194</v>
      </c>
      <c r="B1365">
        <v>24</v>
      </c>
      <c r="C1365" s="1">
        <v>63750.82</v>
      </c>
      <c r="D1365">
        <v>29</v>
      </c>
      <c r="E1365" s="1">
        <v>64734.879999999997</v>
      </c>
      <c r="F1365" s="1">
        <v>128485.7</v>
      </c>
    </row>
    <row r="1366" spans="1:6" x14ac:dyDescent="0.35">
      <c r="A1366">
        <v>200779</v>
      </c>
      <c r="B1366">
        <v>22</v>
      </c>
      <c r="C1366" s="1">
        <v>60661.74</v>
      </c>
      <c r="D1366">
        <v>28</v>
      </c>
      <c r="E1366" s="1">
        <v>67800.11</v>
      </c>
      <c r="F1366" s="1">
        <v>128461.85</v>
      </c>
    </row>
    <row r="1367" spans="1:6" x14ac:dyDescent="0.35">
      <c r="A1367">
        <v>200716</v>
      </c>
      <c r="B1367">
        <v>25</v>
      </c>
      <c r="C1367" s="1">
        <v>59437.55</v>
      </c>
      <c r="D1367">
        <v>28</v>
      </c>
      <c r="E1367" s="1">
        <v>68955.62</v>
      </c>
      <c r="F1367" s="1">
        <v>128393.17</v>
      </c>
    </row>
    <row r="1368" spans="1:6" x14ac:dyDescent="0.35">
      <c r="A1368">
        <v>200336</v>
      </c>
      <c r="B1368">
        <v>23</v>
      </c>
      <c r="C1368" s="1">
        <v>46560</v>
      </c>
      <c r="D1368">
        <v>32</v>
      </c>
      <c r="E1368" s="1">
        <v>81768.3</v>
      </c>
      <c r="F1368" s="1">
        <v>128328.3</v>
      </c>
    </row>
    <row r="1369" spans="1:6" x14ac:dyDescent="0.35">
      <c r="A1369">
        <v>200836</v>
      </c>
      <c r="B1369">
        <v>33</v>
      </c>
      <c r="C1369" s="1">
        <v>72725.16</v>
      </c>
      <c r="D1369">
        <v>30</v>
      </c>
      <c r="E1369" s="1">
        <v>55575.11</v>
      </c>
      <c r="F1369" s="1">
        <v>128300.27</v>
      </c>
    </row>
    <row r="1370" spans="1:6" x14ac:dyDescent="0.35">
      <c r="A1370">
        <v>200860</v>
      </c>
      <c r="B1370">
        <v>27</v>
      </c>
      <c r="C1370" s="1">
        <v>70157.45</v>
      </c>
      <c r="D1370">
        <v>22</v>
      </c>
      <c r="E1370" s="1">
        <v>58130.34</v>
      </c>
      <c r="F1370" s="1">
        <v>128287.79</v>
      </c>
    </row>
    <row r="1371" spans="1:6" x14ac:dyDescent="0.35">
      <c r="A1371">
        <v>201128</v>
      </c>
      <c r="B1371">
        <v>33</v>
      </c>
      <c r="C1371" s="1">
        <v>73252.460000000006</v>
      </c>
      <c r="D1371">
        <v>20</v>
      </c>
      <c r="E1371" s="1">
        <v>55002.75</v>
      </c>
      <c r="F1371" s="1">
        <v>128255.21</v>
      </c>
    </row>
    <row r="1372" spans="1:6" x14ac:dyDescent="0.35">
      <c r="A1372">
        <v>201492</v>
      </c>
      <c r="B1372">
        <v>26</v>
      </c>
      <c r="C1372" s="1">
        <v>67671.289999999994</v>
      </c>
      <c r="D1372">
        <v>26</v>
      </c>
      <c r="E1372" s="1">
        <v>60547.93</v>
      </c>
      <c r="F1372" s="1">
        <v>128219.22</v>
      </c>
    </row>
    <row r="1373" spans="1:6" x14ac:dyDescent="0.35">
      <c r="A1373">
        <v>200869</v>
      </c>
      <c r="B1373">
        <v>23</v>
      </c>
      <c r="C1373" s="1">
        <v>53725.99</v>
      </c>
      <c r="D1373">
        <v>30</v>
      </c>
      <c r="E1373" s="1">
        <v>74478.42</v>
      </c>
      <c r="F1373" s="1">
        <v>128204.41</v>
      </c>
    </row>
    <row r="1374" spans="1:6" x14ac:dyDescent="0.35">
      <c r="A1374">
        <v>200781</v>
      </c>
      <c r="B1374">
        <v>34</v>
      </c>
      <c r="C1374" s="1">
        <v>77160.11</v>
      </c>
      <c r="D1374">
        <v>22</v>
      </c>
      <c r="E1374" s="1">
        <v>51001.96</v>
      </c>
      <c r="F1374" s="1">
        <v>128162.07</v>
      </c>
    </row>
    <row r="1375" spans="1:6" x14ac:dyDescent="0.35">
      <c r="A1375">
        <v>201169</v>
      </c>
      <c r="B1375">
        <v>23</v>
      </c>
      <c r="C1375" s="1">
        <v>47610.080000000002</v>
      </c>
      <c r="D1375">
        <v>30</v>
      </c>
      <c r="E1375" s="1">
        <v>80518.06</v>
      </c>
      <c r="F1375" s="1">
        <v>128128.14</v>
      </c>
    </row>
    <row r="1376" spans="1:6" x14ac:dyDescent="0.35">
      <c r="A1376">
        <v>200201</v>
      </c>
      <c r="B1376">
        <v>22</v>
      </c>
      <c r="C1376" s="1">
        <v>55495.48</v>
      </c>
      <c r="D1376">
        <v>27</v>
      </c>
      <c r="E1376" s="1">
        <v>72494.47</v>
      </c>
      <c r="F1376" s="1">
        <v>127989.95</v>
      </c>
    </row>
    <row r="1377" spans="1:6" x14ac:dyDescent="0.35">
      <c r="A1377">
        <v>200979</v>
      </c>
      <c r="B1377">
        <v>26</v>
      </c>
      <c r="C1377" s="1">
        <v>56971.32</v>
      </c>
      <c r="D1377">
        <v>29</v>
      </c>
      <c r="E1377" s="1">
        <v>71014.509999999995</v>
      </c>
      <c r="F1377" s="1">
        <v>127985.829999999</v>
      </c>
    </row>
    <row r="1378" spans="1:6" x14ac:dyDescent="0.35">
      <c r="A1378">
        <v>200273</v>
      </c>
      <c r="B1378">
        <v>26</v>
      </c>
      <c r="C1378" s="1">
        <v>60725.51</v>
      </c>
      <c r="D1378">
        <v>28</v>
      </c>
      <c r="E1378" s="1">
        <v>66991.899999999994</v>
      </c>
      <c r="F1378" s="1">
        <v>127717.41</v>
      </c>
    </row>
    <row r="1379" spans="1:6" x14ac:dyDescent="0.35">
      <c r="A1379">
        <v>201647</v>
      </c>
      <c r="B1379">
        <v>25</v>
      </c>
      <c r="C1379" s="1">
        <v>53352.7</v>
      </c>
      <c r="D1379">
        <v>31</v>
      </c>
      <c r="E1379" s="1">
        <v>74278.429999999993</v>
      </c>
      <c r="F1379" s="1">
        <v>127631.129999999</v>
      </c>
    </row>
    <row r="1380" spans="1:6" x14ac:dyDescent="0.35">
      <c r="A1380">
        <v>200532</v>
      </c>
      <c r="B1380">
        <v>23</v>
      </c>
      <c r="C1380" s="1">
        <v>68685.78</v>
      </c>
      <c r="D1380">
        <v>24</v>
      </c>
      <c r="E1380" s="1">
        <v>58920.959999999999</v>
      </c>
      <c r="F1380" s="1">
        <v>127606.739999999</v>
      </c>
    </row>
    <row r="1381" spans="1:6" x14ac:dyDescent="0.35">
      <c r="A1381">
        <v>201131</v>
      </c>
      <c r="B1381">
        <v>28</v>
      </c>
      <c r="C1381" s="1">
        <v>73187.19</v>
      </c>
      <c r="D1381">
        <v>24</v>
      </c>
      <c r="E1381" s="1">
        <v>54396.67</v>
      </c>
      <c r="F1381" s="1">
        <v>127583.86</v>
      </c>
    </row>
    <row r="1382" spans="1:6" x14ac:dyDescent="0.35">
      <c r="A1382">
        <v>201095</v>
      </c>
      <c r="B1382">
        <v>25</v>
      </c>
      <c r="C1382" s="1">
        <v>56370.66</v>
      </c>
      <c r="D1382">
        <v>28</v>
      </c>
      <c r="E1382" s="1">
        <v>71202.77</v>
      </c>
      <c r="F1382" s="1">
        <v>127573.43</v>
      </c>
    </row>
    <row r="1383" spans="1:6" x14ac:dyDescent="0.35">
      <c r="A1383">
        <v>201008</v>
      </c>
      <c r="B1383">
        <v>34</v>
      </c>
      <c r="C1383" s="1">
        <v>78408.479999999996</v>
      </c>
      <c r="D1383">
        <v>20</v>
      </c>
      <c r="E1383" s="1">
        <v>49119.76</v>
      </c>
      <c r="F1383" s="1">
        <v>127528.239999999</v>
      </c>
    </row>
    <row r="1384" spans="1:6" x14ac:dyDescent="0.35">
      <c r="A1384">
        <v>200558</v>
      </c>
      <c r="B1384">
        <v>24</v>
      </c>
      <c r="C1384" s="1">
        <v>53604.94</v>
      </c>
      <c r="D1384">
        <v>32</v>
      </c>
      <c r="E1384" s="1">
        <v>73873.490000000005</v>
      </c>
      <c r="F1384" s="1">
        <v>127478.43</v>
      </c>
    </row>
    <row r="1385" spans="1:6" x14ac:dyDescent="0.35">
      <c r="A1385">
        <v>201244</v>
      </c>
      <c r="B1385">
        <v>33</v>
      </c>
      <c r="C1385" s="1">
        <v>74973.14</v>
      </c>
      <c r="D1385">
        <v>21</v>
      </c>
      <c r="E1385" s="1">
        <v>52431.46</v>
      </c>
      <c r="F1385" s="1">
        <v>127404.6</v>
      </c>
    </row>
    <row r="1386" spans="1:6" x14ac:dyDescent="0.35">
      <c r="A1386">
        <v>201476</v>
      </c>
      <c r="B1386">
        <v>29</v>
      </c>
      <c r="C1386" s="1">
        <v>68008.55</v>
      </c>
      <c r="D1386">
        <v>22</v>
      </c>
      <c r="E1386" s="1">
        <v>59353.95</v>
      </c>
      <c r="F1386" s="1">
        <v>127362.5</v>
      </c>
    </row>
    <row r="1387" spans="1:6" x14ac:dyDescent="0.35">
      <c r="A1387">
        <v>201055</v>
      </c>
      <c r="B1387">
        <v>20</v>
      </c>
      <c r="C1387" s="1">
        <v>61093.67</v>
      </c>
      <c r="D1387">
        <v>23</v>
      </c>
      <c r="E1387" s="1">
        <v>66250.44</v>
      </c>
      <c r="F1387" s="1">
        <v>127344.11</v>
      </c>
    </row>
    <row r="1388" spans="1:6" x14ac:dyDescent="0.35">
      <c r="A1388">
        <v>201117</v>
      </c>
      <c r="B1388">
        <v>25</v>
      </c>
      <c r="C1388" s="1">
        <v>56279.48</v>
      </c>
      <c r="D1388">
        <v>29</v>
      </c>
      <c r="E1388" s="1">
        <v>71043.520000000004</v>
      </c>
      <c r="F1388" s="1">
        <v>127323</v>
      </c>
    </row>
    <row r="1389" spans="1:6" x14ac:dyDescent="0.35">
      <c r="A1389">
        <v>200458</v>
      </c>
      <c r="B1389">
        <v>35</v>
      </c>
      <c r="C1389" s="1">
        <v>83903.43</v>
      </c>
      <c r="D1389">
        <v>16</v>
      </c>
      <c r="E1389" s="1">
        <v>43374.69</v>
      </c>
      <c r="F1389" s="1">
        <v>127278.12</v>
      </c>
    </row>
    <row r="1390" spans="1:6" x14ac:dyDescent="0.35">
      <c r="A1390">
        <v>201267</v>
      </c>
      <c r="B1390">
        <v>21</v>
      </c>
      <c r="C1390" s="1">
        <v>41948.39</v>
      </c>
      <c r="D1390">
        <v>32</v>
      </c>
      <c r="E1390" s="1">
        <v>85304.81</v>
      </c>
      <c r="F1390" s="1">
        <v>127253.2</v>
      </c>
    </row>
    <row r="1391" spans="1:6" x14ac:dyDescent="0.35">
      <c r="A1391">
        <v>200363</v>
      </c>
      <c r="B1391">
        <v>26</v>
      </c>
      <c r="C1391" s="1">
        <v>64592.87</v>
      </c>
      <c r="D1391">
        <v>25</v>
      </c>
      <c r="E1391" s="1">
        <v>62569.64</v>
      </c>
      <c r="F1391" s="1">
        <v>127162.51</v>
      </c>
    </row>
    <row r="1392" spans="1:6" x14ac:dyDescent="0.35">
      <c r="A1392">
        <v>200952</v>
      </c>
      <c r="B1392">
        <v>28</v>
      </c>
      <c r="C1392" s="1">
        <v>71457.350000000006</v>
      </c>
      <c r="D1392">
        <v>26</v>
      </c>
      <c r="E1392" s="1">
        <v>55672.73</v>
      </c>
      <c r="F1392" s="1">
        <v>127130.08</v>
      </c>
    </row>
    <row r="1393" spans="1:6" x14ac:dyDescent="0.35">
      <c r="A1393">
        <v>200782</v>
      </c>
      <c r="B1393">
        <v>27</v>
      </c>
      <c r="C1393" s="1">
        <v>70814.58</v>
      </c>
      <c r="D1393">
        <v>27</v>
      </c>
      <c r="E1393" s="1">
        <v>56307.6</v>
      </c>
      <c r="F1393" s="1">
        <v>127122.18</v>
      </c>
    </row>
    <row r="1394" spans="1:6" x14ac:dyDescent="0.35">
      <c r="A1394">
        <v>201086</v>
      </c>
      <c r="B1394">
        <v>27</v>
      </c>
      <c r="C1394" s="1">
        <v>68325.149999999994</v>
      </c>
      <c r="D1394">
        <v>21</v>
      </c>
      <c r="E1394" s="1">
        <v>58781.74</v>
      </c>
      <c r="F1394" s="1">
        <v>127106.889999999</v>
      </c>
    </row>
    <row r="1395" spans="1:6" x14ac:dyDescent="0.35">
      <c r="A1395">
        <v>200216</v>
      </c>
      <c r="B1395">
        <v>21</v>
      </c>
      <c r="C1395" s="1">
        <v>49841.66</v>
      </c>
      <c r="D1395">
        <v>29</v>
      </c>
      <c r="E1395" s="1">
        <v>77242.679999999993</v>
      </c>
      <c r="F1395" s="1">
        <v>127084.34</v>
      </c>
    </row>
    <row r="1396" spans="1:6" x14ac:dyDescent="0.35">
      <c r="A1396">
        <v>200854</v>
      </c>
      <c r="B1396">
        <v>27</v>
      </c>
      <c r="C1396" s="1">
        <v>70020.92</v>
      </c>
      <c r="D1396">
        <v>20</v>
      </c>
      <c r="E1396" s="1">
        <v>57037.08</v>
      </c>
      <c r="F1396" s="1">
        <v>127058</v>
      </c>
    </row>
    <row r="1397" spans="1:6" x14ac:dyDescent="0.35">
      <c r="A1397">
        <v>200132</v>
      </c>
      <c r="B1397">
        <v>27</v>
      </c>
      <c r="C1397" s="1">
        <v>67148.42</v>
      </c>
      <c r="D1397">
        <v>28</v>
      </c>
      <c r="E1397" s="1">
        <v>59861.22</v>
      </c>
      <c r="F1397" s="1">
        <v>127009.64</v>
      </c>
    </row>
    <row r="1398" spans="1:6" x14ac:dyDescent="0.35">
      <c r="A1398">
        <v>201360</v>
      </c>
      <c r="B1398">
        <v>33</v>
      </c>
      <c r="C1398" s="1">
        <v>86469.56</v>
      </c>
      <c r="D1398">
        <v>19</v>
      </c>
      <c r="E1398" s="1">
        <v>40432.22</v>
      </c>
      <c r="F1398" s="1">
        <v>126901.78</v>
      </c>
    </row>
    <row r="1399" spans="1:6" x14ac:dyDescent="0.35">
      <c r="A1399">
        <v>200697</v>
      </c>
      <c r="B1399">
        <v>28</v>
      </c>
      <c r="C1399" s="1">
        <v>70091.81</v>
      </c>
      <c r="D1399">
        <v>24</v>
      </c>
      <c r="E1399" s="1">
        <v>56759.73</v>
      </c>
      <c r="F1399" s="1">
        <v>126851.54</v>
      </c>
    </row>
    <row r="1400" spans="1:6" x14ac:dyDescent="0.35">
      <c r="A1400">
        <v>201595</v>
      </c>
      <c r="B1400">
        <v>31</v>
      </c>
      <c r="C1400" s="1">
        <v>72000.75</v>
      </c>
      <c r="D1400">
        <v>25</v>
      </c>
      <c r="E1400" s="1">
        <v>54815.03</v>
      </c>
      <c r="F1400" s="1">
        <v>126815.78</v>
      </c>
    </row>
    <row r="1401" spans="1:6" x14ac:dyDescent="0.35">
      <c r="A1401">
        <v>201126</v>
      </c>
      <c r="B1401">
        <v>32</v>
      </c>
      <c r="C1401" s="1">
        <v>68627.350000000006</v>
      </c>
      <c r="D1401">
        <v>23</v>
      </c>
      <c r="E1401" s="1">
        <v>58187.9</v>
      </c>
      <c r="F1401" s="1">
        <v>126815.25</v>
      </c>
    </row>
    <row r="1402" spans="1:6" x14ac:dyDescent="0.35">
      <c r="A1402">
        <v>200351</v>
      </c>
      <c r="B1402">
        <v>19</v>
      </c>
      <c r="C1402" s="1">
        <v>51909.25</v>
      </c>
      <c r="D1402">
        <v>30</v>
      </c>
      <c r="E1402" s="1">
        <v>74895.600000000006</v>
      </c>
      <c r="F1402" s="1">
        <v>126804.85</v>
      </c>
    </row>
    <row r="1403" spans="1:6" x14ac:dyDescent="0.35">
      <c r="A1403">
        <v>200333</v>
      </c>
      <c r="B1403">
        <v>17</v>
      </c>
      <c r="C1403" s="1">
        <v>37347.519999999997</v>
      </c>
      <c r="D1403">
        <v>37</v>
      </c>
      <c r="E1403" s="1">
        <v>89385.39</v>
      </c>
      <c r="F1403" s="1">
        <v>126732.91</v>
      </c>
    </row>
    <row r="1404" spans="1:6" x14ac:dyDescent="0.35">
      <c r="A1404">
        <v>201437</v>
      </c>
      <c r="B1404">
        <v>19</v>
      </c>
      <c r="C1404" s="1">
        <v>51548.24</v>
      </c>
      <c r="D1404">
        <v>29</v>
      </c>
      <c r="E1404" s="1">
        <v>75139.95</v>
      </c>
      <c r="F1404" s="1">
        <v>126688.19</v>
      </c>
    </row>
    <row r="1405" spans="1:6" x14ac:dyDescent="0.35">
      <c r="A1405">
        <v>200973</v>
      </c>
      <c r="B1405">
        <v>26</v>
      </c>
      <c r="C1405" s="1">
        <v>56146.91</v>
      </c>
      <c r="D1405">
        <v>26</v>
      </c>
      <c r="E1405" s="1">
        <v>70485.38</v>
      </c>
      <c r="F1405" s="1">
        <v>126632.29</v>
      </c>
    </row>
    <row r="1406" spans="1:6" x14ac:dyDescent="0.35">
      <c r="A1406">
        <v>201373</v>
      </c>
      <c r="B1406">
        <v>32</v>
      </c>
      <c r="C1406" s="1">
        <v>71197.929999999993</v>
      </c>
      <c r="D1406">
        <v>24</v>
      </c>
      <c r="E1406" s="1">
        <v>55426.13</v>
      </c>
      <c r="F1406" s="1">
        <v>126624.06</v>
      </c>
    </row>
    <row r="1407" spans="1:6" x14ac:dyDescent="0.35">
      <c r="A1407">
        <v>201393</v>
      </c>
      <c r="B1407">
        <v>27</v>
      </c>
      <c r="C1407" s="1">
        <v>61186.97</v>
      </c>
      <c r="D1407">
        <v>25</v>
      </c>
      <c r="E1407" s="1">
        <v>65437.06</v>
      </c>
      <c r="F1407" s="1">
        <v>126624.03</v>
      </c>
    </row>
    <row r="1408" spans="1:6" x14ac:dyDescent="0.35">
      <c r="A1408">
        <v>200431</v>
      </c>
      <c r="B1408">
        <v>22</v>
      </c>
      <c r="C1408" s="1">
        <v>60797.88</v>
      </c>
      <c r="D1408">
        <v>29</v>
      </c>
      <c r="E1408" s="1">
        <v>65787.81</v>
      </c>
      <c r="F1408" s="1">
        <v>126585.69</v>
      </c>
    </row>
    <row r="1409" spans="1:6" x14ac:dyDescent="0.35">
      <c r="A1409">
        <v>200994</v>
      </c>
      <c r="B1409">
        <v>20</v>
      </c>
      <c r="C1409" s="1">
        <v>51859.45</v>
      </c>
      <c r="D1409">
        <v>31</v>
      </c>
      <c r="E1409" s="1">
        <v>74617.740000000005</v>
      </c>
      <c r="F1409" s="1">
        <v>126477.19</v>
      </c>
    </row>
    <row r="1410" spans="1:6" x14ac:dyDescent="0.35">
      <c r="A1410">
        <v>201502</v>
      </c>
      <c r="B1410">
        <v>29</v>
      </c>
      <c r="C1410" s="1">
        <v>69240.7</v>
      </c>
      <c r="D1410">
        <v>20</v>
      </c>
      <c r="E1410" s="1">
        <v>57228.39</v>
      </c>
      <c r="F1410" s="1">
        <v>126469.09</v>
      </c>
    </row>
    <row r="1411" spans="1:6" x14ac:dyDescent="0.35">
      <c r="A1411">
        <v>200389</v>
      </c>
      <c r="B1411">
        <v>32</v>
      </c>
      <c r="C1411" s="1">
        <v>92948.39</v>
      </c>
      <c r="D1411">
        <v>18</v>
      </c>
      <c r="E1411" s="1">
        <v>33497.19</v>
      </c>
      <c r="F1411" s="1">
        <v>126445.58</v>
      </c>
    </row>
    <row r="1412" spans="1:6" x14ac:dyDescent="0.35">
      <c r="A1412">
        <v>201330</v>
      </c>
      <c r="B1412">
        <v>33</v>
      </c>
      <c r="C1412" s="1">
        <v>80844.67</v>
      </c>
      <c r="D1412">
        <v>23</v>
      </c>
      <c r="E1412" s="1">
        <v>45477.599999999999</v>
      </c>
      <c r="F1412" s="1">
        <v>126322.269999999</v>
      </c>
    </row>
    <row r="1413" spans="1:6" x14ac:dyDescent="0.35">
      <c r="A1413">
        <v>201341</v>
      </c>
      <c r="B1413">
        <v>21</v>
      </c>
      <c r="C1413" s="1">
        <v>56283.4</v>
      </c>
      <c r="D1413">
        <v>26</v>
      </c>
      <c r="E1413" s="1">
        <v>69984.84</v>
      </c>
      <c r="F1413" s="1">
        <v>126268.239999999</v>
      </c>
    </row>
    <row r="1414" spans="1:6" x14ac:dyDescent="0.35">
      <c r="A1414">
        <v>200479</v>
      </c>
      <c r="B1414">
        <v>33</v>
      </c>
      <c r="C1414" s="1">
        <v>70521.22</v>
      </c>
      <c r="D1414">
        <v>27</v>
      </c>
      <c r="E1414" s="1">
        <v>55742.93</v>
      </c>
      <c r="F1414" s="1">
        <v>126264.15</v>
      </c>
    </row>
    <row r="1415" spans="1:6" x14ac:dyDescent="0.35">
      <c r="A1415">
        <v>200007</v>
      </c>
      <c r="B1415">
        <v>27</v>
      </c>
      <c r="C1415" s="1">
        <v>53507.77</v>
      </c>
      <c r="D1415">
        <v>27</v>
      </c>
      <c r="E1415" s="1">
        <v>72698.36</v>
      </c>
      <c r="F1415" s="1">
        <v>126206.13</v>
      </c>
    </row>
    <row r="1416" spans="1:6" x14ac:dyDescent="0.35">
      <c r="A1416">
        <v>200210</v>
      </c>
      <c r="B1416">
        <v>34</v>
      </c>
      <c r="C1416" s="1">
        <v>69927.710000000006</v>
      </c>
      <c r="D1416">
        <v>26</v>
      </c>
      <c r="E1416" s="1">
        <v>56251.89</v>
      </c>
      <c r="F1416" s="1">
        <v>126179.6</v>
      </c>
    </row>
    <row r="1417" spans="1:6" x14ac:dyDescent="0.35">
      <c r="A1417">
        <v>200582</v>
      </c>
      <c r="B1417">
        <v>30</v>
      </c>
      <c r="C1417" s="1">
        <v>80505.38</v>
      </c>
      <c r="D1417">
        <v>22</v>
      </c>
      <c r="E1417" s="1">
        <v>45655.07</v>
      </c>
      <c r="F1417" s="1">
        <v>126160.45</v>
      </c>
    </row>
    <row r="1418" spans="1:6" x14ac:dyDescent="0.35">
      <c r="A1418">
        <v>201348</v>
      </c>
      <c r="B1418">
        <v>30</v>
      </c>
      <c r="C1418" s="1">
        <v>72534.25</v>
      </c>
      <c r="D1418">
        <v>25</v>
      </c>
      <c r="E1418" s="1">
        <v>53579.05</v>
      </c>
      <c r="F1418" s="1">
        <v>126113.3</v>
      </c>
    </row>
    <row r="1419" spans="1:6" x14ac:dyDescent="0.35">
      <c r="A1419">
        <v>200209</v>
      </c>
      <c r="B1419">
        <v>24</v>
      </c>
      <c r="C1419" s="1">
        <v>73056.33</v>
      </c>
      <c r="D1419">
        <v>22</v>
      </c>
      <c r="E1419" s="1">
        <v>52987.95</v>
      </c>
      <c r="F1419" s="1">
        <v>126044.28</v>
      </c>
    </row>
    <row r="1420" spans="1:6" x14ac:dyDescent="0.35">
      <c r="A1420">
        <v>200300</v>
      </c>
      <c r="B1420">
        <v>23</v>
      </c>
      <c r="C1420" s="1">
        <v>67777.48</v>
      </c>
      <c r="D1420">
        <v>25</v>
      </c>
      <c r="E1420" s="1">
        <v>58258.79</v>
      </c>
      <c r="F1420" s="1">
        <v>126036.269999999</v>
      </c>
    </row>
    <row r="1421" spans="1:6" x14ac:dyDescent="0.35">
      <c r="A1421">
        <v>200000</v>
      </c>
      <c r="B1421">
        <v>32</v>
      </c>
      <c r="C1421" s="1">
        <v>76542.179999999993</v>
      </c>
      <c r="D1421">
        <v>21</v>
      </c>
      <c r="E1421" s="1">
        <v>49444.55</v>
      </c>
      <c r="F1421" s="1">
        <v>125986.73</v>
      </c>
    </row>
    <row r="1422" spans="1:6" x14ac:dyDescent="0.35">
      <c r="A1422">
        <v>200998</v>
      </c>
      <c r="B1422">
        <v>28</v>
      </c>
      <c r="C1422" s="1">
        <v>68495.839999999997</v>
      </c>
      <c r="D1422">
        <v>23</v>
      </c>
      <c r="E1422" s="1">
        <v>57468.36</v>
      </c>
      <c r="F1422" s="1">
        <v>125964.2</v>
      </c>
    </row>
    <row r="1423" spans="1:6" x14ac:dyDescent="0.35">
      <c r="A1423">
        <v>201440</v>
      </c>
      <c r="B1423">
        <v>35</v>
      </c>
      <c r="C1423" s="1">
        <v>83189.179999999993</v>
      </c>
      <c r="D1423">
        <v>18</v>
      </c>
      <c r="E1423" s="1">
        <v>42723.839999999997</v>
      </c>
      <c r="F1423" s="1">
        <v>125913.019999999</v>
      </c>
    </row>
    <row r="1424" spans="1:6" x14ac:dyDescent="0.35">
      <c r="A1424">
        <v>201135</v>
      </c>
      <c r="B1424">
        <v>29</v>
      </c>
      <c r="C1424" s="1">
        <v>61299.519999999997</v>
      </c>
      <c r="D1424">
        <v>27</v>
      </c>
      <c r="E1424" s="1">
        <v>64571.77</v>
      </c>
      <c r="F1424" s="1">
        <v>125871.29</v>
      </c>
    </row>
    <row r="1425" spans="1:6" x14ac:dyDescent="0.35">
      <c r="A1425">
        <v>201549</v>
      </c>
      <c r="B1425">
        <v>29</v>
      </c>
      <c r="C1425" s="1">
        <v>76704.66</v>
      </c>
      <c r="D1425">
        <v>24</v>
      </c>
      <c r="E1425" s="1">
        <v>49085.54</v>
      </c>
      <c r="F1425" s="1">
        <v>125790.2</v>
      </c>
    </row>
    <row r="1426" spans="1:6" x14ac:dyDescent="0.35">
      <c r="A1426">
        <v>200971</v>
      </c>
      <c r="B1426">
        <v>25</v>
      </c>
      <c r="C1426" s="1">
        <v>53402.19</v>
      </c>
      <c r="D1426">
        <v>28</v>
      </c>
      <c r="E1426" s="1">
        <v>72284.14</v>
      </c>
      <c r="F1426" s="1">
        <v>125686.33</v>
      </c>
    </row>
    <row r="1427" spans="1:6" x14ac:dyDescent="0.35">
      <c r="A1427">
        <v>201410</v>
      </c>
      <c r="B1427">
        <v>29</v>
      </c>
      <c r="C1427" s="1">
        <v>71285.19</v>
      </c>
      <c r="D1427">
        <v>22</v>
      </c>
      <c r="E1427" s="1">
        <v>54328.29</v>
      </c>
      <c r="F1427" s="1">
        <v>125613.48</v>
      </c>
    </row>
    <row r="1428" spans="1:6" x14ac:dyDescent="0.35">
      <c r="A1428">
        <v>200524</v>
      </c>
      <c r="B1428">
        <v>29</v>
      </c>
      <c r="C1428" s="1">
        <v>81007.149999999994</v>
      </c>
      <c r="D1428">
        <v>18</v>
      </c>
      <c r="E1428" s="1">
        <v>44577.98</v>
      </c>
      <c r="F1428" s="1">
        <v>125585.13</v>
      </c>
    </row>
    <row r="1429" spans="1:6" x14ac:dyDescent="0.35">
      <c r="A1429">
        <v>201309</v>
      </c>
      <c r="B1429">
        <v>31</v>
      </c>
      <c r="C1429" s="1">
        <v>71752.02</v>
      </c>
      <c r="D1429">
        <v>25</v>
      </c>
      <c r="E1429" s="1">
        <v>53783.03</v>
      </c>
      <c r="F1429" s="1">
        <v>125535.05</v>
      </c>
    </row>
    <row r="1430" spans="1:6" x14ac:dyDescent="0.35">
      <c r="A1430">
        <v>201513</v>
      </c>
      <c r="B1430">
        <v>23</v>
      </c>
      <c r="C1430" s="1">
        <v>63510.34</v>
      </c>
      <c r="D1430">
        <v>27</v>
      </c>
      <c r="E1430" s="1">
        <v>61986.63</v>
      </c>
      <c r="F1430" s="1">
        <v>125496.97</v>
      </c>
    </row>
    <row r="1431" spans="1:6" x14ac:dyDescent="0.35">
      <c r="A1431">
        <v>200138</v>
      </c>
      <c r="B1431">
        <v>30</v>
      </c>
      <c r="C1431" s="1">
        <v>66364.77</v>
      </c>
      <c r="D1431">
        <v>25</v>
      </c>
      <c r="E1431" s="1">
        <v>59121.919999999998</v>
      </c>
      <c r="F1431" s="1">
        <v>125486.69</v>
      </c>
    </row>
    <row r="1432" spans="1:6" x14ac:dyDescent="0.35">
      <c r="A1432">
        <v>201503</v>
      </c>
      <c r="B1432">
        <v>32</v>
      </c>
      <c r="C1432" s="1">
        <v>83250.3</v>
      </c>
      <c r="D1432">
        <v>19</v>
      </c>
      <c r="E1432" s="1">
        <v>42235.49</v>
      </c>
      <c r="F1432" s="1">
        <v>125485.79</v>
      </c>
    </row>
    <row r="1433" spans="1:6" x14ac:dyDescent="0.35">
      <c r="A1433">
        <v>200924</v>
      </c>
      <c r="B1433">
        <v>27</v>
      </c>
      <c r="C1433" s="1">
        <v>59267.09</v>
      </c>
      <c r="D1433">
        <v>30</v>
      </c>
      <c r="E1433" s="1">
        <v>66101.649999999994</v>
      </c>
      <c r="F1433" s="1">
        <v>125368.739999999</v>
      </c>
    </row>
    <row r="1434" spans="1:6" x14ac:dyDescent="0.35">
      <c r="A1434">
        <v>200581</v>
      </c>
      <c r="B1434">
        <v>24</v>
      </c>
      <c r="C1434" s="1">
        <v>55060.84</v>
      </c>
      <c r="D1434">
        <v>28</v>
      </c>
      <c r="E1434" s="1">
        <v>70290.080000000002</v>
      </c>
      <c r="F1434" s="1">
        <v>125350.92</v>
      </c>
    </row>
    <row r="1435" spans="1:6" x14ac:dyDescent="0.35">
      <c r="A1435">
        <v>201550</v>
      </c>
      <c r="B1435">
        <v>23</v>
      </c>
      <c r="C1435" s="1">
        <v>55275.55</v>
      </c>
      <c r="D1435">
        <v>32</v>
      </c>
      <c r="E1435" s="1">
        <v>70068.12</v>
      </c>
      <c r="F1435" s="1">
        <v>125343.67</v>
      </c>
    </row>
    <row r="1436" spans="1:6" x14ac:dyDescent="0.35">
      <c r="A1436">
        <v>200619</v>
      </c>
      <c r="B1436">
        <v>30</v>
      </c>
      <c r="C1436" s="1">
        <v>77801.64</v>
      </c>
      <c r="D1436">
        <v>21</v>
      </c>
      <c r="E1436" s="1">
        <v>47506.81</v>
      </c>
      <c r="F1436" s="1">
        <v>125308.45</v>
      </c>
    </row>
    <row r="1437" spans="1:6" x14ac:dyDescent="0.35">
      <c r="A1437">
        <v>200726</v>
      </c>
      <c r="B1437">
        <v>26</v>
      </c>
      <c r="C1437" s="1">
        <v>65914.539999999994</v>
      </c>
      <c r="D1437">
        <v>31</v>
      </c>
      <c r="E1437" s="1">
        <v>59257.3</v>
      </c>
      <c r="F1437" s="1">
        <v>125171.84</v>
      </c>
    </row>
    <row r="1438" spans="1:6" x14ac:dyDescent="0.35">
      <c r="A1438">
        <v>200872</v>
      </c>
      <c r="B1438">
        <v>25</v>
      </c>
      <c r="C1438" s="1">
        <v>56865.91</v>
      </c>
      <c r="D1438">
        <v>29</v>
      </c>
      <c r="E1438" s="1">
        <v>68293.88</v>
      </c>
      <c r="F1438" s="1">
        <v>125159.79</v>
      </c>
    </row>
    <row r="1439" spans="1:6" x14ac:dyDescent="0.35">
      <c r="A1439">
        <v>201349</v>
      </c>
      <c r="B1439">
        <v>35</v>
      </c>
      <c r="C1439" s="1">
        <v>68923.88</v>
      </c>
      <c r="D1439">
        <v>20</v>
      </c>
      <c r="E1439" s="1">
        <v>56086.75</v>
      </c>
      <c r="F1439" s="1">
        <v>125010.63</v>
      </c>
    </row>
    <row r="1440" spans="1:6" x14ac:dyDescent="0.35">
      <c r="A1440">
        <v>200025</v>
      </c>
      <c r="B1440">
        <v>22</v>
      </c>
      <c r="C1440" s="1">
        <v>48866.17</v>
      </c>
      <c r="D1440">
        <v>31</v>
      </c>
      <c r="E1440" s="1">
        <v>76141.19</v>
      </c>
      <c r="F1440" s="1">
        <v>125007.36</v>
      </c>
    </row>
    <row r="1441" spans="1:6" x14ac:dyDescent="0.35">
      <c r="A1441">
        <v>200543</v>
      </c>
      <c r="B1441">
        <v>35</v>
      </c>
      <c r="C1441" s="1">
        <v>75660.12</v>
      </c>
      <c r="D1441">
        <v>25</v>
      </c>
      <c r="E1441" s="1">
        <v>49332.18</v>
      </c>
      <c r="F1441" s="1">
        <v>124992.299999999</v>
      </c>
    </row>
    <row r="1442" spans="1:6" x14ac:dyDescent="0.35">
      <c r="A1442">
        <v>200769</v>
      </c>
      <c r="B1442">
        <v>29</v>
      </c>
      <c r="C1442" s="1">
        <v>73685.3</v>
      </c>
      <c r="D1442">
        <v>21</v>
      </c>
      <c r="E1442" s="1">
        <v>51300.46</v>
      </c>
      <c r="F1442" s="1">
        <v>124985.76</v>
      </c>
    </row>
    <row r="1443" spans="1:6" x14ac:dyDescent="0.35">
      <c r="A1443">
        <v>200900</v>
      </c>
      <c r="B1443">
        <v>32</v>
      </c>
      <c r="C1443" s="1">
        <v>70805.62</v>
      </c>
      <c r="D1443">
        <v>20</v>
      </c>
      <c r="E1443" s="1">
        <v>54103.98</v>
      </c>
      <c r="F1443" s="1">
        <v>124909.6</v>
      </c>
    </row>
    <row r="1444" spans="1:6" x14ac:dyDescent="0.35">
      <c r="A1444">
        <v>200483</v>
      </c>
      <c r="B1444">
        <v>28</v>
      </c>
      <c r="C1444" s="1">
        <v>57537.01</v>
      </c>
      <c r="D1444">
        <v>24</v>
      </c>
      <c r="E1444" s="1">
        <v>67366.600000000006</v>
      </c>
      <c r="F1444" s="1">
        <v>124903.61</v>
      </c>
    </row>
    <row r="1445" spans="1:6" x14ac:dyDescent="0.35">
      <c r="A1445">
        <v>201523</v>
      </c>
      <c r="B1445">
        <v>27</v>
      </c>
      <c r="C1445" s="1">
        <v>58843.57</v>
      </c>
      <c r="D1445">
        <v>27</v>
      </c>
      <c r="E1445" s="1">
        <v>66004.89</v>
      </c>
      <c r="F1445" s="1">
        <v>124848.459999999</v>
      </c>
    </row>
    <row r="1446" spans="1:6" x14ac:dyDescent="0.35">
      <c r="A1446">
        <v>200840</v>
      </c>
      <c r="B1446">
        <v>24</v>
      </c>
      <c r="C1446" s="1">
        <v>50925.47</v>
      </c>
      <c r="D1446">
        <v>26</v>
      </c>
      <c r="E1446" s="1">
        <v>73862.210000000006</v>
      </c>
      <c r="F1446" s="1">
        <v>124787.68</v>
      </c>
    </row>
    <row r="1447" spans="1:6" x14ac:dyDescent="0.35">
      <c r="A1447">
        <v>200614</v>
      </c>
      <c r="B1447">
        <v>26</v>
      </c>
      <c r="C1447" s="1">
        <v>55627.02</v>
      </c>
      <c r="D1447">
        <v>26</v>
      </c>
      <c r="E1447" s="1">
        <v>69093.47</v>
      </c>
      <c r="F1447" s="1">
        <v>124720.489999999</v>
      </c>
    </row>
    <row r="1448" spans="1:6" x14ac:dyDescent="0.35">
      <c r="A1448">
        <v>201556</v>
      </c>
      <c r="B1448">
        <v>28</v>
      </c>
      <c r="C1448" s="1">
        <v>52797.21</v>
      </c>
      <c r="D1448">
        <v>29</v>
      </c>
      <c r="E1448" s="1">
        <v>71876.98</v>
      </c>
      <c r="F1448" s="1">
        <v>124674.19</v>
      </c>
    </row>
    <row r="1449" spans="1:6" x14ac:dyDescent="0.35">
      <c r="A1449">
        <v>200647</v>
      </c>
      <c r="B1449">
        <v>24</v>
      </c>
      <c r="C1449" s="1">
        <v>48682.74</v>
      </c>
      <c r="D1449">
        <v>27</v>
      </c>
      <c r="E1449" s="1">
        <v>75974.289999999994</v>
      </c>
      <c r="F1449" s="1">
        <v>124657.03</v>
      </c>
    </row>
    <row r="1450" spans="1:6" x14ac:dyDescent="0.35">
      <c r="A1450">
        <v>200346</v>
      </c>
      <c r="B1450">
        <v>24</v>
      </c>
      <c r="C1450" s="1">
        <v>58105</v>
      </c>
      <c r="D1450">
        <v>28</v>
      </c>
      <c r="E1450" s="1">
        <v>66515.06</v>
      </c>
      <c r="F1450" s="1">
        <v>124620.06</v>
      </c>
    </row>
    <row r="1451" spans="1:6" x14ac:dyDescent="0.35">
      <c r="A1451">
        <v>200313</v>
      </c>
      <c r="B1451">
        <v>25</v>
      </c>
      <c r="C1451" s="1">
        <v>54721.440000000002</v>
      </c>
      <c r="D1451">
        <v>28</v>
      </c>
      <c r="E1451" s="1">
        <v>69888.66</v>
      </c>
      <c r="F1451" s="1">
        <v>124610.1</v>
      </c>
    </row>
    <row r="1452" spans="1:6" x14ac:dyDescent="0.35">
      <c r="A1452">
        <v>200549</v>
      </c>
      <c r="B1452">
        <v>24</v>
      </c>
      <c r="C1452" s="1">
        <v>53155.07</v>
      </c>
      <c r="D1452">
        <v>37</v>
      </c>
      <c r="E1452" s="1">
        <v>71400.87</v>
      </c>
      <c r="F1452" s="1">
        <v>124555.94</v>
      </c>
    </row>
    <row r="1453" spans="1:6" x14ac:dyDescent="0.35">
      <c r="A1453">
        <v>201193</v>
      </c>
      <c r="B1453">
        <v>29</v>
      </c>
      <c r="C1453" s="1">
        <v>60474.93</v>
      </c>
      <c r="D1453">
        <v>27</v>
      </c>
      <c r="E1453" s="1">
        <v>63989.43</v>
      </c>
      <c r="F1453" s="1">
        <v>124464.36</v>
      </c>
    </row>
    <row r="1454" spans="1:6" x14ac:dyDescent="0.35">
      <c r="A1454">
        <v>200608</v>
      </c>
      <c r="B1454">
        <v>27</v>
      </c>
      <c r="C1454" s="1">
        <v>73990.92</v>
      </c>
      <c r="D1454">
        <v>20</v>
      </c>
      <c r="E1454" s="1">
        <v>50455.79</v>
      </c>
      <c r="F1454" s="1">
        <v>124446.709999999</v>
      </c>
    </row>
    <row r="1455" spans="1:6" x14ac:dyDescent="0.35">
      <c r="A1455">
        <v>201532</v>
      </c>
      <c r="B1455">
        <v>27</v>
      </c>
      <c r="C1455" s="1">
        <v>63133.94</v>
      </c>
      <c r="D1455">
        <v>24</v>
      </c>
      <c r="E1455" s="1">
        <v>61264.07</v>
      </c>
      <c r="F1455" s="1">
        <v>124398.01</v>
      </c>
    </row>
    <row r="1456" spans="1:6" x14ac:dyDescent="0.35">
      <c r="A1456">
        <v>201242</v>
      </c>
      <c r="B1456">
        <v>28</v>
      </c>
      <c r="C1456" s="1">
        <v>70681.52</v>
      </c>
      <c r="D1456">
        <v>22</v>
      </c>
      <c r="E1456" s="1">
        <v>53616.44</v>
      </c>
      <c r="F1456" s="1">
        <v>124297.96</v>
      </c>
    </row>
    <row r="1457" spans="1:6" x14ac:dyDescent="0.35">
      <c r="A1457">
        <v>200682</v>
      </c>
      <c r="B1457">
        <v>23</v>
      </c>
      <c r="C1457" s="1">
        <v>58115.34</v>
      </c>
      <c r="D1457">
        <v>26</v>
      </c>
      <c r="E1457" s="1">
        <v>66161.73</v>
      </c>
      <c r="F1457" s="1">
        <v>124277.069999999</v>
      </c>
    </row>
    <row r="1458" spans="1:6" x14ac:dyDescent="0.35">
      <c r="A1458">
        <v>200098</v>
      </c>
      <c r="B1458">
        <v>24</v>
      </c>
      <c r="C1458" s="1">
        <v>63633.27</v>
      </c>
      <c r="D1458">
        <v>25</v>
      </c>
      <c r="E1458" s="1">
        <v>60523.56</v>
      </c>
      <c r="F1458" s="1">
        <v>124156.829999999</v>
      </c>
    </row>
    <row r="1459" spans="1:6" x14ac:dyDescent="0.35">
      <c r="A1459">
        <v>201282</v>
      </c>
      <c r="B1459">
        <v>24</v>
      </c>
      <c r="C1459" s="1">
        <v>50251.05</v>
      </c>
      <c r="D1459">
        <v>30</v>
      </c>
      <c r="E1459" s="1">
        <v>73856.240000000005</v>
      </c>
      <c r="F1459" s="1">
        <v>124107.29</v>
      </c>
    </row>
    <row r="1460" spans="1:6" x14ac:dyDescent="0.35">
      <c r="A1460">
        <v>201291</v>
      </c>
      <c r="B1460">
        <v>18</v>
      </c>
      <c r="C1460" s="1">
        <v>40283.620000000003</v>
      </c>
      <c r="D1460">
        <v>27</v>
      </c>
      <c r="E1460" s="1">
        <v>83794.45</v>
      </c>
      <c r="F1460" s="1">
        <v>124078.07</v>
      </c>
    </row>
    <row r="1461" spans="1:6" x14ac:dyDescent="0.35">
      <c r="A1461">
        <v>200859</v>
      </c>
      <c r="B1461">
        <v>20</v>
      </c>
      <c r="C1461" s="1">
        <v>53650.62</v>
      </c>
      <c r="D1461">
        <v>27</v>
      </c>
      <c r="E1461" s="1">
        <v>70421.36</v>
      </c>
      <c r="F1461" s="1">
        <v>124071.98</v>
      </c>
    </row>
    <row r="1462" spans="1:6" x14ac:dyDescent="0.35">
      <c r="A1462">
        <v>200580</v>
      </c>
      <c r="B1462">
        <v>24</v>
      </c>
      <c r="C1462" s="1">
        <v>58145.24</v>
      </c>
      <c r="D1462">
        <v>28</v>
      </c>
      <c r="E1462" s="1">
        <v>65863.149999999994</v>
      </c>
      <c r="F1462" s="1">
        <v>124008.389999999</v>
      </c>
    </row>
    <row r="1463" spans="1:6" x14ac:dyDescent="0.35">
      <c r="A1463">
        <v>201478</v>
      </c>
      <c r="B1463">
        <v>19</v>
      </c>
      <c r="C1463" s="1">
        <v>46427.91</v>
      </c>
      <c r="D1463">
        <v>29</v>
      </c>
      <c r="E1463" s="1">
        <v>77541.66</v>
      </c>
      <c r="F1463" s="1">
        <v>123969.57</v>
      </c>
    </row>
    <row r="1464" spans="1:6" x14ac:dyDescent="0.35">
      <c r="A1464">
        <v>201407</v>
      </c>
      <c r="B1464">
        <v>26</v>
      </c>
      <c r="C1464" s="1">
        <v>63209.66</v>
      </c>
      <c r="D1464">
        <v>24</v>
      </c>
      <c r="E1464" s="1">
        <v>60711.41</v>
      </c>
      <c r="F1464" s="1">
        <v>123921.07</v>
      </c>
    </row>
    <row r="1465" spans="1:6" x14ac:dyDescent="0.35">
      <c r="A1465">
        <v>200017</v>
      </c>
      <c r="B1465">
        <v>23</v>
      </c>
      <c r="C1465" s="1">
        <v>46504.42</v>
      </c>
      <c r="D1465">
        <v>33</v>
      </c>
      <c r="E1465" s="1">
        <v>77392.81</v>
      </c>
      <c r="F1465" s="1">
        <v>123897.23</v>
      </c>
    </row>
    <row r="1466" spans="1:6" x14ac:dyDescent="0.35">
      <c r="A1466">
        <v>201264</v>
      </c>
      <c r="B1466">
        <v>27</v>
      </c>
      <c r="C1466" s="1">
        <v>72866.44</v>
      </c>
      <c r="D1466">
        <v>20</v>
      </c>
      <c r="E1466" s="1">
        <v>50969.47</v>
      </c>
      <c r="F1466" s="1">
        <v>123835.91</v>
      </c>
    </row>
    <row r="1467" spans="1:6" x14ac:dyDescent="0.35">
      <c r="A1467">
        <v>201277</v>
      </c>
      <c r="B1467">
        <v>29</v>
      </c>
      <c r="C1467" s="1">
        <v>77370.8</v>
      </c>
      <c r="D1467">
        <v>21</v>
      </c>
      <c r="E1467" s="1">
        <v>46416.7</v>
      </c>
      <c r="F1467" s="1">
        <v>123787.5</v>
      </c>
    </row>
    <row r="1468" spans="1:6" x14ac:dyDescent="0.35">
      <c r="A1468">
        <v>201650</v>
      </c>
      <c r="B1468">
        <v>28</v>
      </c>
      <c r="C1468" s="1">
        <v>72482.02</v>
      </c>
      <c r="D1468">
        <v>22</v>
      </c>
      <c r="E1468" s="1">
        <v>51293.72</v>
      </c>
      <c r="F1468" s="1">
        <v>123775.74</v>
      </c>
    </row>
    <row r="1469" spans="1:6" x14ac:dyDescent="0.35">
      <c r="A1469">
        <v>200997</v>
      </c>
      <c r="B1469">
        <v>27</v>
      </c>
      <c r="C1469" s="1">
        <v>55656.51</v>
      </c>
      <c r="D1469">
        <v>24</v>
      </c>
      <c r="E1469" s="1">
        <v>68118.320000000007</v>
      </c>
      <c r="F1469" s="1">
        <v>123774.83</v>
      </c>
    </row>
    <row r="1470" spans="1:6" x14ac:dyDescent="0.35">
      <c r="A1470">
        <v>201468</v>
      </c>
      <c r="B1470">
        <v>31</v>
      </c>
      <c r="C1470" s="1">
        <v>82960.570000000007</v>
      </c>
      <c r="D1470">
        <v>20</v>
      </c>
      <c r="E1470" s="1">
        <v>40737.040000000001</v>
      </c>
      <c r="F1470" s="1">
        <v>123697.61</v>
      </c>
    </row>
    <row r="1471" spans="1:6" x14ac:dyDescent="0.35">
      <c r="A1471">
        <v>201205</v>
      </c>
      <c r="B1471">
        <v>26</v>
      </c>
      <c r="C1471" s="1">
        <v>56986.99</v>
      </c>
      <c r="D1471">
        <v>30</v>
      </c>
      <c r="E1471" s="1">
        <v>66511.16</v>
      </c>
      <c r="F1471" s="1">
        <v>123498.15</v>
      </c>
    </row>
    <row r="1472" spans="1:6" x14ac:dyDescent="0.35">
      <c r="A1472">
        <v>200165</v>
      </c>
      <c r="B1472">
        <v>27</v>
      </c>
      <c r="C1472" s="1">
        <v>70717.740000000005</v>
      </c>
      <c r="D1472">
        <v>22</v>
      </c>
      <c r="E1472" s="1">
        <v>52625.46</v>
      </c>
      <c r="F1472" s="1">
        <v>123343.2</v>
      </c>
    </row>
    <row r="1473" spans="1:6" x14ac:dyDescent="0.35">
      <c r="A1473">
        <v>200413</v>
      </c>
      <c r="B1473">
        <v>28</v>
      </c>
      <c r="C1473" s="1">
        <v>63871.78</v>
      </c>
      <c r="D1473">
        <v>27</v>
      </c>
      <c r="E1473" s="1">
        <v>59423.65</v>
      </c>
      <c r="F1473" s="1">
        <v>123295.43</v>
      </c>
    </row>
    <row r="1474" spans="1:6" x14ac:dyDescent="0.35">
      <c r="A1474">
        <v>200845</v>
      </c>
      <c r="B1474">
        <v>27</v>
      </c>
      <c r="C1474" s="1">
        <v>69792.75</v>
      </c>
      <c r="D1474">
        <v>24</v>
      </c>
      <c r="E1474" s="1">
        <v>53482.79</v>
      </c>
      <c r="F1474" s="1">
        <v>123275.54</v>
      </c>
    </row>
    <row r="1475" spans="1:6" x14ac:dyDescent="0.35">
      <c r="A1475">
        <v>201608</v>
      </c>
      <c r="B1475">
        <v>25</v>
      </c>
      <c r="C1475" s="1">
        <v>67266.41</v>
      </c>
      <c r="D1475">
        <v>22</v>
      </c>
      <c r="E1475" s="1">
        <v>55919.78</v>
      </c>
      <c r="F1475" s="1">
        <v>123186.19</v>
      </c>
    </row>
    <row r="1476" spans="1:6" x14ac:dyDescent="0.35">
      <c r="A1476">
        <v>201122</v>
      </c>
      <c r="B1476">
        <v>26</v>
      </c>
      <c r="C1476" s="1">
        <v>48035.78</v>
      </c>
      <c r="D1476">
        <v>28</v>
      </c>
      <c r="E1476" s="1">
        <v>75070.22</v>
      </c>
      <c r="F1476" s="1">
        <v>123106</v>
      </c>
    </row>
    <row r="1477" spans="1:6" x14ac:dyDescent="0.35">
      <c r="A1477">
        <v>200367</v>
      </c>
      <c r="B1477">
        <v>25</v>
      </c>
      <c r="C1477" s="1">
        <v>61267.24</v>
      </c>
      <c r="D1477">
        <v>21</v>
      </c>
      <c r="E1477" s="1">
        <v>61802.37</v>
      </c>
      <c r="F1477" s="1">
        <v>123069.61</v>
      </c>
    </row>
    <row r="1478" spans="1:6" x14ac:dyDescent="0.35">
      <c r="A1478">
        <v>200355</v>
      </c>
      <c r="B1478">
        <v>22</v>
      </c>
      <c r="C1478" s="1">
        <v>56867.92</v>
      </c>
      <c r="D1478">
        <v>28</v>
      </c>
      <c r="E1478" s="1">
        <v>66189.52</v>
      </c>
      <c r="F1478" s="1">
        <v>123057.44</v>
      </c>
    </row>
    <row r="1479" spans="1:6" x14ac:dyDescent="0.35">
      <c r="A1479">
        <v>200951</v>
      </c>
      <c r="B1479">
        <v>23</v>
      </c>
      <c r="C1479" s="1">
        <v>58616.959999999999</v>
      </c>
      <c r="D1479">
        <v>26</v>
      </c>
      <c r="E1479" s="1">
        <v>64433.919999999998</v>
      </c>
      <c r="F1479" s="1">
        <v>123050.88</v>
      </c>
    </row>
    <row r="1480" spans="1:6" x14ac:dyDescent="0.35">
      <c r="A1480">
        <v>201024</v>
      </c>
      <c r="B1480">
        <v>25</v>
      </c>
      <c r="C1480" s="1">
        <v>52222.559999999998</v>
      </c>
      <c r="D1480">
        <v>31</v>
      </c>
      <c r="E1480" s="1">
        <v>70760.210000000006</v>
      </c>
      <c r="F1480" s="1">
        <v>122982.77</v>
      </c>
    </row>
    <row r="1481" spans="1:6" x14ac:dyDescent="0.35">
      <c r="A1481">
        <v>200196</v>
      </c>
      <c r="B1481">
        <v>26</v>
      </c>
      <c r="C1481" s="1">
        <v>50782.43</v>
      </c>
      <c r="D1481">
        <v>30</v>
      </c>
      <c r="E1481" s="1">
        <v>71959.789999999994</v>
      </c>
      <c r="F1481" s="1">
        <v>122742.22</v>
      </c>
    </row>
    <row r="1482" spans="1:6" x14ac:dyDescent="0.35">
      <c r="A1482">
        <v>200721</v>
      </c>
      <c r="B1482">
        <v>28</v>
      </c>
      <c r="C1482" s="1">
        <v>63718.57</v>
      </c>
      <c r="D1482">
        <v>20</v>
      </c>
      <c r="E1482" s="1">
        <v>58997.57</v>
      </c>
      <c r="F1482" s="1">
        <v>122716.14</v>
      </c>
    </row>
    <row r="1483" spans="1:6" x14ac:dyDescent="0.35">
      <c r="A1483">
        <v>201415</v>
      </c>
      <c r="B1483">
        <v>26</v>
      </c>
      <c r="C1483" s="1">
        <v>60669.75</v>
      </c>
      <c r="D1483">
        <v>25</v>
      </c>
      <c r="E1483" s="1">
        <v>61977.64</v>
      </c>
      <c r="F1483" s="1">
        <v>122647.39</v>
      </c>
    </row>
    <row r="1484" spans="1:6" x14ac:dyDescent="0.35">
      <c r="A1484">
        <v>200026</v>
      </c>
      <c r="B1484">
        <v>29</v>
      </c>
      <c r="C1484" s="1">
        <v>66248.5</v>
      </c>
      <c r="D1484">
        <v>25</v>
      </c>
      <c r="E1484" s="1">
        <v>56198.59</v>
      </c>
      <c r="F1484" s="1">
        <v>122447.09</v>
      </c>
    </row>
    <row r="1485" spans="1:6" x14ac:dyDescent="0.35">
      <c r="A1485">
        <v>201332</v>
      </c>
      <c r="B1485">
        <v>21</v>
      </c>
      <c r="C1485" s="1">
        <v>59025.07</v>
      </c>
      <c r="D1485">
        <v>27</v>
      </c>
      <c r="E1485" s="1">
        <v>63375.79</v>
      </c>
      <c r="F1485" s="1">
        <v>122400.86</v>
      </c>
    </row>
    <row r="1486" spans="1:6" x14ac:dyDescent="0.35">
      <c r="A1486">
        <v>200747</v>
      </c>
      <c r="B1486">
        <v>31</v>
      </c>
      <c r="C1486" s="1">
        <v>71900.06</v>
      </c>
      <c r="D1486">
        <v>18</v>
      </c>
      <c r="E1486" s="1">
        <v>50380.54</v>
      </c>
      <c r="F1486" s="1">
        <v>122280.6</v>
      </c>
    </row>
    <row r="1487" spans="1:6" x14ac:dyDescent="0.35">
      <c r="A1487">
        <v>200359</v>
      </c>
      <c r="B1487">
        <v>28</v>
      </c>
      <c r="C1487" s="1">
        <v>65185.06</v>
      </c>
      <c r="D1487">
        <v>26</v>
      </c>
      <c r="E1487" s="1">
        <v>56959.39</v>
      </c>
      <c r="F1487" s="1">
        <v>122144.45</v>
      </c>
    </row>
    <row r="1488" spans="1:6" x14ac:dyDescent="0.35">
      <c r="A1488">
        <v>200155</v>
      </c>
      <c r="B1488">
        <v>15</v>
      </c>
      <c r="C1488" s="1">
        <v>37690.800000000003</v>
      </c>
      <c r="D1488">
        <v>32</v>
      </c>
      <c r="E1488" s="1">
        <v>84409.07</v>
      </c>
      <c r="F1488" s="1">
        <v>122099.87</v>
      </c>
    </row>
    <row r="1489" spans="1:6" x14ac:dyDescent="0.35">
      <c r="A1489">
        <v>200175</v>
      </c>
      <c r="B1489">
        <v>25</v>
      </c>
      <c r="C1489" s="1">
        <v>51815.98</v>
      </c>
      <c r="D1489">
        <v>26</v>
      </c>
      <c r="E1489" s="1">
        <v>70275.48</v>
      </c>
      <c r="F1489" s="1">
        <v>122091.459999999</v>
      </c>
    </row>
    <row r="1490" spans="1:6" x14ac:dyDescent="0.35">
      <c r="A1490">
        <v>201012</v>
      </c>
      <c r="B1490">
        <v>24</v>
      </c>
      <c r="C1490" s="1">
        <v>53579.44</v>
      </c>
      <c r="D1490">
        <v>29</v>
      </c>
      <c r="E1490" s="1">
        <v>68470.66</v>
      </c>
      <c r="F1490" s="1">
        <v>122050.1</v>
      </c>
    </row>
    <row r="1491" spans="1:6" x14ac:dyDescent="0.35">
      <c r="A1491">
        <v>200384</v>
      </c>
      <c r="B1491">
        <v>28</v>
      </c>
      <c r="C1491" s="1">
        <v>69584.820000000007</v>
      </c>
      <c r="D1491">
        <v>20</v>
      </c>
      <c r="E1491" s="1">
        <v>52435.95</v>
      </c>
      <c r="F1491" s="1">
        <v>122020.77</v>
      </c>
    </row>
    <row r="1492" spans="1:6" x14ac:dyDescent="0.35">
      <c r="A1492">
        <v>200701</v>
      </c>
      <c r="B1492">
        <v>26</v>
      </c>
      <c r="C1492" s="1">
        <v>56623.4</v>
      </c>
      <c r="D1492">
        <v>28</v>
      </c>
      <c r="E1492" s="1">
        <v>65219.01</v>
      </c>
      <c r="F1492" s="1">
        <v>121842.41</v>
      </c>
    </row>
    <row r="1493" spans="1:6" x14ac:dyDescent="0.35">
      <c r="A1493">
        <v>201582</v>
      </c>
      <c r="B1493">
        <v>37</v>
      </c>
      <c r="C1493" s="1">
        <v>100822.63</v>
      </c>
      <c r="D1493">
        <v>12</v>
      </c>
      <c r="E1493" s="1">
        <v>20989.919999999998</v>
      </c>
      <c r="F1493" s="1">
        <v>121812.55</v>
      </c>
    </row>
    <row r="1494" spans="1:6" x14ac:dyDescent="0.35">
      <c r="A1494">
        <v>200085</v>
      </c>
      <c r="B1494">
        <v>26</v>
      </c>
      <c r="C1494" s="1">
        <v>56061.58</v>
      </c>
      <c r="D1494">
        <v>26</v>
      </c>
      <c r="E1494" s="1">
        <v>65637.919999999998</v>
      </c>
      <c r="F1494" s="1">
        <v>121699.5</v>
      </c>
    </row>
    <row r="1495" spans="1:6" x14ac:dyDescent="0.35">
      <c r="A1495">
        <v>200294</v>
      </c>
      <c r="B1495">
        <v>30</v>
      </c>
      <c r="C1495" s="1">
        <v>66274.2</v>
      </c>
      <c r="D1495">
        <v>25</v>
      </c>
      <c r="E1495" s="1">
        <v>55421.27</v>
      </c>
      <c r="F1495" s="1">
        <v>121695.47</v>
      </c>
    </row>
    <row r="1496" spans="1:6" x14ac:dyDescent="0.35">
      <c r="A1496">
        <v>200149</v>
      </c>
      <c r="B1496">
        <v>25</v>
      </c>
      <c r="C1496" s="1">
        <v>59618.54</v>
      </c>
      <c r="D1496">
        <v>27</v>
      </c>
      <c r="E1496" s="1">
        <v>62040.78</v>
      </c>
      <c r="F1496" s="1">
        <v>121659.32</v>
      </c>
    </row>
    <row r="1497" spans="1:6" x14ac:dyDescent="0.35">
      <c r="A1497">
        <v>200678</v>
      </c>
      <c r="B1497">
        <v>28</v>
      </c>
      <c r="C1497" s="1">
        <v>65329.81</v>
      </c>
      <c r="D1497">
        <v>24</v>
      </c>
      <c r="E1497" s="1">
        <v>56096.44</v>
      </c>
      <c r="F1497" s="1">
        <v>121426.25</v>
      </c>
    </row>
    <row r="1498" spans="1:6" x14ac:dyDescent="0.35">
      <c r="A1498">
        <v>201630</v>
      </c>
      <c r="B1498">
        <v>20</v>
      </c>
      <c r="C1498" s="1">
        <v>57251.62</v>
      </c>
      <c r="D1498">
        <v>25</v>
      </c>
      <c r="E1498" s="1">
        <v>64127.11</v>
      </c>
      <c r="F1498" s="1">
        <v>121378.73</v>
      </c>
    </row>
    <row r="1499" spans="1:6" x14ac:dyDescent="0.35">
      <c r="A1499">
        <v>201302</v>
      </c>
      <c r="B1499">
        <v>26</v>
      </c>
      <c r="C1499" s="1">
        <v>69553.27</v>
      </c>
      <c r="D1499">
        <v>22</v>
      </c>
      <c r="E1499" s="1">
        <v>51796.47</v>
      </c>
      <c r="F1499" s="1">
        <v>121349.74</v>
      </c>
    </row>
    <row r="1500" spans="1:6" x14ac:dyDescent="0.35">
      <c r="A1500">
        <v>200399</v>
      </c>
      <c r="B1500">
        <v>23</v>
      </c>
      <c r="C1500" s="1">
        <v>56276.5</v>
      </c>
      <c r="D1500">
        <v>24</v>
      </c>
      <c r="E1500" s="1">
        <v>65014.34</v>
      </c>
      <c r="F1500" s="1">
        <v>121290.84</v>
      </c>
    </row>
    <row r="1501" spans="1:6" x14ac:dyDescent="0.35">
      <c r="A1501">
        <v>201090</v>
      </c>
      <c r="B1501">
        <v>22</v>
      </c>
      <c r="C1501" s="1">
        <v>51318.52</v>
      </c>
      <c r="D1501">
        <v>33</v>
      </c>
      <c r="E1501" s="1">
        <v>69972.289999999994</v>
      </c>
      <c r="F1501" s="1">
        <v>121290.81</v>
      </c>
    </row>
    <row r="1502" spans="1:6" x14ac:dyDescent="0.35">
      <c r="A1502">
        <v>200024</v>
      </c>
      <c r="B1502">
        <v>31</v>
      </c>
      <c r="C1502" s="1">
        <v>64373.8</v>
      </c>
      <c r="D1502">
        <v>25</v>
      </c>
      <c r="E1502" s="1">
        <v>56811.9</v>
      </c>
      <c r="F1502" s="1">
        <v>121185.7</v>
      </c>
    </row>
    <row r="1503" spans="1:6" x14ac:dyDescent="0.35">
      <c r="A1503">
        <v>200828</v>
      </c>
      <c r="B1503">
        <v>26</v>
      </c>
      <c r="C1503" s="1">
        <v>60970.3</v>
      </c>
      <c r="D1503">
        <v>23</v>
      </c>
      <c r="E1503" s="1">
        <v>60173.84</v>
      </c>
      <c r="F1503" s="1">
        <v>121144.14</v>
      </c>
    </row>
    <row r="1504" spans="1:6" x14ac:dyDescent="0.35">
      <c r="A1504">
        <v>200151</v>
      </c>
      <c r="B1504">
        <v>28</v>
      </c>
      <c r="C1504" s="1">
        <v>61435.040000000001</v>
      </c>
      <c r="D1504">
        <v>27</v>
      </c>
      <c r="E1504" s="1">
        <v>59673.16</v>
      </c>
      <c r="F1504" s="1">
        <v>121108.2</v>
      </c>
    </row>
    <row r="1505" spans="1:6" x14ac:dyDescent="0.35">
      <c r="A1505">
        <v>200405</v>
      </c>
      <c r="B1505">
        <v>23</v>
      </c>
      <c r="C1505" s="1">
        <v>45353.84</v>
      </c>
      <c r="D1505">
        <v>28</v>
      </c>
      <c r="E1505" s="1">
        <v>75669.62</v>
      </c>
      <c r="F1505" s="1">
        <v>121023.459999999</v>
      </c>
    </row>
    <row r="1506" spans="1:6" x14ac:dyDescent="0.35">
      <c r="A1506">
        <v>201129</v>
      </c>
      <c r="B1506">
        <v>21</v>
      </c>
      <c r="C1506" s="1">
        <v>55951.5</v>
      </c>
      <c r="D1506">
        <v>30</v>
      </c>
      <c r="E1506" s="1">
        <v>64935.199999999997</v>
      </c>
      <c r="F1506" s="1">
        <v>120886.7</v>
      </c>
    </row>
    <row r="1507" spans="1:6" x14ac:dyDescent="0.35">
      <c r="A1507">
        <v>200586</v>
      </c>
      <c r="B1507">
        <v>16</v>
      </c>
      <c r="C1507" s="1">
        <v>40348.379999999997</v>
      </c>
      <c r="D1507">
        <v>34</v>
      </c>
      <c r="E1507" s="1">
        <v>80512.929999999993</v>
      </c>
      <c r="F1507" s="1">
        <v>120861.31</v>
      </c>
    </row>
    <row r="1508" spans="1:6" x14ac:dyDescent="0.35">
      <c r="A1508">
        <v>200239</v>
      </c>
      <c r="B1508">
        <v>19</v>
      </c>
      <c r="C1508" s="1">
        <v>53052.69</v>
      </c>
      <c r="D1508">
        <v>29</v>
      </c>
      <c r="E1508" s="1">
        <v>67731.61</v>
      </c>
      <c r="F1508" s="1">
        <v>120784.3</v>
      </c>
    </row>
    <row r="1509" spans="1:6" x14ac:dyDescent="0.35">
      <c r="A1509">
        <v>200059</v>
      </c>
      <c r="B1509">
        <v>23</v>
      </c>
      <c r="C1509" s="1">
        <v>47951.34</v>
      </c>
      <c r="D1509">
        <v>33</v>
      </c>
      <c r="E1509" s="1">
        <v>72584.67</v>
      </c>
      <c r="F1509" s="1">
        <v>120536.01</v>
      </c>
    </row>
    <row r="1510" spans="1:6" x14ac:dyDescent="0.35">
      <c r="A1510">
        <v>201098</v>
      </c>
      <c r="B1510">
        <v>28</v>
      </c>
      <c r="C1510" s="1">
        <v>83197.5</v>
      </c>
      <c r="D1510">
        <v>19</v>
      </c>
      <c r="E1510" s="1">
        <v>37158.22</v>
      </c>
      <c r="F1510" s="1">
        <v>120355.72</v>
      </c>
    </row>
    <row r="1511" spans="1:6" x14ac:dyDescent="0.35">
      <c r="A1511">
        <v>200727</v>
      </c>
      <c r="B1511">
        <v>25</v>
      </c>
      <c r="C1511" s="1">
        <v>63178.71</v>
      </c>
      <c r="D1511">
        <v>32</v>
      </c>
      <c r="E1511" s="1">
        <v>57156.06</v>
      </c>
      <c r="F1511" s="1">
        <v>120334.769999999</v>
      </c>
    </row>
    <row r="1512" spans="1:6" x14ac:dyDescent="0.35">
      <c r="A1512">
        <v>200464</v>
      </c>
      <c r="B1512">
        <v>29</v>
      </c>
      <c r="C1512" s="1">
        <v>60332.36</v>
      </c>
      <c r="D1512">
        <v>24</v>
      </c>
      <c r="E1512" s="1">
        <v>59832.33</v>
      </c>
      <c r="F1512" s="1">
        <v>120164.69</v>
      </c>
    </row>
    <row r="1513" spans="1:6" x14ac:dyDescent="0.35">
      <c r="A1513">
        <v>200064</v>
      </c>
      <c r="B1513">
        <v>32</v>
      </c>
      <c r="C1513" s="1">
        <v>83987.88</v>
      </c>
      <c r="D1513">
        <v>18</v>
      </c>
      <c r="E1513" s="1">
        <v>36136.230000000003</v>
      </c>
      <c r="F1513" s="1">
        <v>120124.11</v>
      </c>
    </row>
    <row r="1514" spans="1:6" x14ac:dyDescent="0.35">
      <c r="A1514">
        <v>201010</v>
      </c>
      <c r="B1514">
        <v>24</v>
      </c>
      <c r="C1514" s="1">
        <v>71019.070000000007</v>
      </c>
      <c r="D1514">
        <v>18</v>
      </c>
      <c r="E1514" s="1">
        <v>48994.58</v>
      </c>
      <c r="F1514" s="1">
        <v>120013.65</v>
      </c>
    </row>
    <row r="1515" spans="1:6" x14ac:dyDescent="0.35">
      <c r="A1515">
        <v>201526</v>
      </c>
      <c r="B1515">
        <v>25</v>
      </c>
      <c r="C1515" s="1">
        <v>59381.760000000002</v>
      </c>
      <c r="D1515">
        <v>24</v>
      </c>
      <c r="E1515" s="1">
        <v>60449.81</v>
      </c>
      <c r="F1515" s="1">
        <v>119831.57</v>
      </c>
    </row>
    <row r="1516" spans="1:6" x14ac:dyDescent="0.35">
      <c r="A1516">
        <v>201399</v>
      </c>
      <c r="B1516">
        <v>26</v>
      </c>
      <c r="C1516" s="1">
        <v>52225.03</v>
      </c>
      <c r="D1516">
        <v>25</v>
      </c>
      <c r="E1516" s="1">
        <v>67584.86</v>
      </c>
      <c r="F1516" s="1">
        <v>119809.89</v>
      </c>
    </row>
    <row r="1517" spans="1:6" x14ac:dyDescent="0.35">
      <c r="A1517">
        <v>201645</v>
      </c>
      <c r="B1517">
        <v>20</v>
      </c>
      <c r="C1517" s="1">
        <v>55591.96</v>
      </c>
      <c r="D1517">
        <v>29</v>
      </c>
      <c r="E1517" s="1">
        <v>64211.01</v>
      </c>
      <c r="F1517" s="1">
        <v>119802.97</v>
      </c>
    </row>
    <row r="1518" spans="1:6" x14ac:dyDescent="0.35">
      <c r="A1518">
        <v>200759</v>
      </c>
      <c r="B1518">
        <v>25</v>
      </c>
      <c r="C1518" s="1">
        <v>68677.179999999993</v>
      </c>
      <c r="D1518">
        <v>21</v>
      </c>
      <c r="E1518" s="1">
        <v>50873.55</v>
      </c>
      <c r="F1518" s="1">
        <v>119550.73</v>
      </c>
    </row>
    <row r="1519" spans="1:6" x14ac:dyDescent="0.35">
      <c r="A1519">
        <v>201062</v>
      </c>
      <c r="B1519">
        <v>30</v>
      </c>
      <c r="C1519" s="1">
        <v>61641.2</v>
      </c>
      <c r="D1519">
        <v>25</v>
      </c>
      <c r="E1519" s="1">
        <v>57795.22</v>
      </c>
      <c r="F1519" s="1">
        <v>119436.42</v>
      </c>
    </row>
    <row r="1520" spans="1:6" x14ac:dyDescent="0.35">
      <c r="A1520">
        <v>200878</v>
      </c>
      <c r="B1520">
        <v>23</v>
      </c>
      <c r="C1520" s="1">
        <v>52627.97</v>
      </c>
      <c r="D1520">
        <v>25</v>
      </c>
      <c r="E1520" s="1">
        <v>66798.69</v>
      </c>
      <c r="F1520" s="1">
        <v>119426.66</v>
      </c>
    </row>
    <row r="1521" spans="1:6" x14ac:dyDescent="0.35">
      <c r="A1521">
        <v>200238</v>
      </c>
      <c r="B1521">
        <v>28</v>
      </c>
      <c r="C1521" s="1">
        <v>62288.32</v>
      </c>
      <c r="D1521">
        <v>22</v>
      </c>
      <c r="E1521" s="1">
        <v>57001.46</v>
      </c>
      <c r="F1521" s="1">
        <v>119289.78</v>
      </c>
    </row>
    <row r="1522" spans="1:6" x14ac:dyDescent="0.35">
      <c r="A1522">
        <v>200263</v>
      </c>
      <c r="B1522">
        <v>24</v>
      </c>
      <c r="C1522" s="1">
        <v>53908.15</v>
      </c>
      <c r="D1522">
        <v>27</v>
      </c>
      <c r="E1522" s="1">
        <v>65376.45</v>
      </c>
      <c r="F1522" s="1">
        <v>119284.6</v>
      </c>
    </row>
    <row r="1523" spans="1:6" x14ac:dyDescent="0.35">
      <c r="A1523">
        <v>201540</v>
      </c>
      <c r="B1523">
        <v>28</v>
      </c>
      <c r="C1523" s="1">
        <v>54755.79</v>
      </c>
      <c r="D1523">
        <v>25</v>
      </c>
      <c r="E1523" s="1">
        <v>64324.45</v>
      </c>
      <c r="F1523" s="1">
        <v>119080.239999999</v>
      </c>
    </row>
    <row r="1524" spans="1:6" x14ac:dyDescent="0.35">
      <c r="A1524">
        <v>201158</v>
      </c>
      <c r="B1524">
        <v>28</v>
      </c>
      <c r="C1524" s="1">
        <v>66468.73</v>
      </c>
      <c r="D1524">
        <v>26</v>
      </c>
      <c r="E1524" s="1">
        <v>52530.75</v>
      </c>
      <c r="F1524" s="1">
        <v>118999.48</v>
      </c>
    </row>
    <row r="1525" spans="1:6" x14ac:dyDescent="0.35">
      <c r="A1525">
        <v>201442</v>
      </c>
      <c r="B1525">
        <v>28</v>
      </c>
      <c r="C1525" s="1">
        <v>58386.22</v>
      </c>
      <c r="D1525">
        <v>27</v>
      </c>
      <c r="E1525" s="1">
        <v>60593.919999999998</v>
      </c>
      <c r="F1525" s="1">
        <v>118980.14</v>
      </c>
    </row>
    <row r="1526" spans="1:6" x14ac:dyDescent="0.35">
      <c r="A1526">
        <v>200948</v>
      </c>
      <c r="B1526">
        <v>26</v>
      </c>
      <c r="C1526" s="1">
        <v>66681.320000000007</v>
      </c>
      <c r="D1526">
        <v>22</v>
      </c>
      <c r="E1526" s="1">
        <v>52283.48</v>
      </c>
      <c r="F1526" s="1">
        <v>118964.8</v>
      </c>
    </row>
    <row r="1527" spans="1:6" x14ac:dyDescent="0.35">
      <c r="A1527">
        <v>201590</v>
      </c>
      <c r="B1527">
        <v>28</v>
      </c>
      <c r="C1527" s="1">
        <v>67211.539999999994</v>
      </c>
      <c r="D1527">
        <v>26</v>
      </c>
      <c r="E1527" s="1">
        <v>51687.66</v>
      </c>
      <c r="F1527" s="1">
        <v>118899.2</v>
      </c>
    </row>
    <row r="1528" spans="1:6" x14ac:dyDescent="0.35">
      <c r="A1528">
        <v>200460</v>
      </c>
      <c r="B1528">
        <v>24</v>
      </c>
      <c r="C1528" s="1">
        <v>51885.71</v>
      </c>
      <c r="D1528">
        <v>27</v>
      </c>
      <c r="E1528" s="1">
        <v>66923.360000000001</v>
      </c>
      <c r="F1528" s="1">
        <v>118809.07</v>
      </c>
    </row>
    <row r="1529" spans="1:6" x14ac:dyDescent="0.35">
      <c r="A1529">
        <v>200935</v>
      </c>
      <c r="B1529">
        <v>24</v>
      </c>
      <c r="C1529" s="1">
        <v>65332.46</v>
      </c>
      <c r="D1529">
        <v>22</v>
      </c>
      <c r="E1529" s="1">
        <v>53371.92</v>
      </c>
      <c r="F1529" s="1">
        <v>118704.38</v>
      </c>
    </row>
    <row r="1530" spans="1:6" x14ac:dyDescent="0.35">
      <c r="A1530">
        <v>200783</v>
      </c>
      <c r="B1530">
        <v>23</v>
      </c>
      <c r="C1530" s="1">
        <v>60995.41</v>
      </c>
      <c r="D1530">
        <v>27</v>
      </c>
      <c r="E1530" s="1">
        <v>57302.7</v>
      </c>
      <c r="F1530" s="1">
        <v>118298.11</v>
      </c>
    </row>
    <row r="1531" spans="1:6" x14ac:dyDescent="0.35">
      <c r="A1531">
        <v>200746</v>
      </c>
      <c r="B1531">
        <v>23</v>
      </c>
      <c r="C1531" s="1">
        <v>61039.17</v>
      </c>
      <c r="D1531">
        <v>25</v>
      </c>
      <c r="E1531" s="1">
        <v>57242.52</v>
      </c>
      <c r="F1531" s="1">
        <v>118281.69</v>
      </c>
    </row>
    <row r="1532" spans="1:6" x14ac:dyDescent="0.35">
      <c r="A1532">
        <v>201310</v>
      </c>
      <c r="B1532">
        <v>26</v>
      </c>
      <c r="C1532" s="1">
        <v>61262.65</v>
      </c>
      <c r="D1532">
        <v>25</v>
      </c>
      <c r="E1532" s="1">
        <v>57005.3</v>
      </c>
      <c r="F1532" s="1">
        <v>118267.95</v>
      </c>
    </row>
    <row r="1533" spans="1:6" x14ac:dyDescent="0.35">
      <c r="A1533">
        <v>200495</v>
      </c>
      <c r="B1533">
        <v>28</v>
      </c>
      <c r="C1533" s="1">
        <v>59901.32</v>
      </c>
      <c r="D1533">
        <v>27</v>
      </c>
      <c r="E1533" s="1">
        <v>58363.25</v>
      </c>
      <c r="F1533" s="1">
        <v>118264.57</v>
      </c>
    </row>
    <row r="1534" spans="1:6" x14ac:dyDescent="0.35">
      <c r="A1534">
        <v>200241</v>
      </c>
      <c r="B1534">
        <v>25</v>
      </c>
      <c r="C1534" s="1">
        <v>55216.51</v>
      </c>
      <c r="D1534">
        <v>26</v>
      </c>
      <c r="E1534" s="1">
        <v>62980.99</v>
      </c>
      <c r="F1534" s="1">
        <v>118197.5</v>
      </c>
    </row>
    <row r="1535" spans="1:6" x14ac:dyDescent="0.35">
      <c r="A1535">
        <v>201343</v>
      </c>
      <c r="B1535">
        <v>26</v>
      </c>
      <c r="C1535" s="1">
        <v>45585.71</v>
      </c>
      <c r="D1535">
        <v>29</v>
      </c>
      <c r="E1535" s="1">
        <v>72594.259999999995</v>
      </c>
      <c r="F1535" s="1">
        <v>118179.97</v>
      </c>
    </row>
    <row r="1536" spans="1:6" x14ac:dyDescent="0.35">
      <c r="A1536">
        <v>200028</v>
      </c>
      <c r="B1536">
        <v>27</v>
      </c>
      <c r="C1536" s="1">
        <v>66970.91</v>
      </c>
      <c r="D1536">
        <v>22</v>
      </c>
      <c r="E1536" s="1">
        <v>50822.59</v>
      </c>
      <c r="F1536" s="1">
        <v>117793.5</v>
      </c>
    </row>
    <row r="1537" spans="1:6" x14ac:dyDescent="0.35">
      <c r="A1537">
        <v>200077</v>
      </c>
      <c r="B1537">
        <v>25</v>
      </c>
      <c r="C1537" s="1">
        <v>58010.44</v>
      </c>
      <c r="D1537">
        <v>26</v>
      </c>
      <c r="E1537" s="1">
        <v>59751.63</v>
      </c>
      <c r="F1537" s="1">
        <v>117762.07</v>
      </c>
    </row>
    <row r="1538" spans="1:6" x14ac:dyDescent="0.35">
      <c r="A1538">
        <v>200913</v>
      </c>
      <c r="B1538">
        <v>25</v>
      </c>
      <c r="C1538" s="1">
        <v>68934.3</v>
      </c>
      <c r="D1538">
        <v>21</v>
      </c>
      <c r="E1538" s="1">
        <v>48767.25</v>
      </c>
      <c r="F1538" s="1">
        <v>117701.55</v>
      </c>
    </row>
    <row r="1539" spans="1:6" x14ac:dyDescent="0.35">
      <c r="A1539">
        <v>200295</v>
      </c>
      <c r="B1539">
        <v>28</v>
      </c>
      <c r="C1539" s="1">
        <v>65568.53</v>
      </c>
      <c r="D1539">
        <v>20</v>
      </c>
      <c r="E1539" s="1">
        <v>51959.66</v>
      </c>
      <c r="F1539" s="1">
        <v>117528.19</v>
      </c>
    </row>
    <row r="1540" spans="1:6" x14ac:dyDescent="0.35">
      <c r="A1540">
        <v>201311</v>
      </c>
      <c r="B1540">
        <v>23</v>
      </c>
      <c r="C1540" s="1">
        <v>51659.73</v>
      </c>
      <c r="D1540">
        <v>28</v>
      </c>
      <c r="E1540" s="1">
        <v>65842.570000000007</v>
      </c>
      <c r="F1540" s="1">
        <v>117502.3</v>
      </c>
    </row>
    <row r="1541" spans="1:6" x14ac:dyDescent="0.35">
      <c r="A1541">
        <v>201592</v>
      </c>
      <c r="B1541">
        <v>26</v>
      </c>
      <c r="C1541" s="1">
        <v>58678.83</v>
      </c>
      <c r="D1541">
        <v>27</v>
      </c>
      <c r="E1541" s="1">
        <v>58677.66</v>
      </c>
      <c r="F1541" s="1">
        <v>117356.49</v>
      </c>
    </row>
    <row r="1542" spans="1:6" x14ac:dyDescent="0.35">
      <c r="A1542">
        <v>201260</v>
      </c>
      <c r="B1542">
        <v>27</v>
      </c>
      <c r="C1542" s="1">
        <v>55360</v>
      </c>
      <c r="D1542">
        <v>25</v>
      </c>
      <c r="E1542" s="1">
        <v>61878.879999999997</v>
      </c>
      <c r="F1542" s="1">
        <v>117238.88</v>
      </c>
    </row>
    <row r="1543" spans="1:6" x14ac:dyDescent="0.35">
      <c r="A1543">
        <v>200856</v>
      </c>
      <c r="B1543">
        <v>27</v>
      </c>
      <c r="C1543" s="1">
        <v>67016.460000000006</v>
      </c>
      <c r="D1543">
        <v>26</v>
      </c>
      <c r="E1543" s="1">
        <v>49935.21</v>
      </c>
      <c r="F1543" s="1">
        <v>116951.67</v>
      </c>
    </row>
    <row r="1544" spans="1:6" x14ac:dyDescent="0.35">
      <c r="A1544">
        <v>201353</v>
      </c>
      <c r="B1544">
        <v>30</v>
      </c>
      <c r="C1544" s="1">
        <v>72299.710000000006</v>
      </c>
      <c r="D1544">
        <v>25</v>
      </c>
      <c r="E1544" s="1">
        <v>44586.96</v>
      </c>
      <c r="F1544" s="1">
        <v>116886.67</v>
      </c>
    </row>
    <row r="1545" spans="1:6" x14ac:dyDescent="0.35">
      <c r="A1545">
        <v>200192</v>
      </c>
      <c r="B1545">
        <v>26</v>
      </c>
      <c r="C1545" s="1">
        <v>71619.33</v>
      </c>
      <c r="D1545">
        <v>24</v>
      </c>
      <c r="E1545" s="1">
        <v>45181.31</v>
      </c>
      <c r="F1545" s="1">
        <v>116800.64</v>
      </c>
    </row>
    <row r="1546" spans="1:6" x14ac:dyDescent="0.35">
      <c r="A1546">
        <v>200906</v>
      </c>
      <c r="B1546">
        <v>23</v>
      </c>
      <c r="C1546" s="1">
        <v>50799.24</v>
      </c>
      <c r="D1546">
        <v>29</v>
      </c>
      <c r="E1546" s="1">
        <v>65876.55</v>
      </c>
      <c r="F1546" s="1">
        <v>116675.79</v>
      </c>
    </row>
    <row r="1547" spans="1:6" x14ac:dyDescent="0.35">
      <c r="A1547">
        <v>200230</v>
      </c>
      <c r="B1547">
        <v>27</v>
      </c>
      <c r="C1547" s="1">
        <v>61570.28</v>
      </c>
      <c r="D1547">
        <v>22</v>
      </c>
      <c r="E1547" s="1">
        <v>55037.72</v>
      </c>
      <c r="F1547" s="1">
        <v>116608</v>
      </c>
    </row>
    <row r="1548" spans="1:6" x14ac:dyDescent="0.35">
      <c r="A1548">
        <v>201522</v>
      </c>
      <c r="B1548">
        <v>23</v>
      </c>
      <c r="C1548" s="1">
        <v>63979.42</v>
      </c>
      <c r="D1548">
        <v>25</v>
      </c>
      <c r="E1548" s="1">
        <v>52191.8</v>
      </c>
      <c r="F1548" s="1">
        <v>116171.22</v>
      </c>
    </row>
    <row r="1549" spans="1:6" x14ac:dyDescent="0.35">
      <c r="A1549">
        <v>201400</v>
      </c>
      <c r="B1549">
        <v>30</v>
      </c>
      <c r="C1549" s="1">
        <v>58309.82</v>
      </c>
      <c r="D1549">
        <v>29</v>
      </c>
      <c r="E1549" s="1">
        <v>57838.87</v>
      </c>
      <c r="F1549" s="1">
        <v>116148.69</v>
      </c>
    </row>
    <row r="1550" spans="1:6" x14ac:dyDescent="0.35">
      <c r="A1550">
        <v>200980</v>
      </c>
      <c r="B1550">
        <v>26</v>
      </c>
      <c r="C1550" s="1">
        <v>62522.97</v>
      </c>
      <c r="D1550">
        <v>25</v>
      </c>
      <c r="E1550" s="1">
        <v>53623.31</v>
      </c>
      <c r="F1550" s="1">
        <v>116146.28</v>
      </c>
    </row>
    <row r="1551" spans="1:6" x14ac:dyDescent="0.35">
      <c r="A1551">
        <v>200816</v>
      </c>
      <c r="B1551">
        <v>23</v>
      </c>
      <c r="C1551" s="1">
        <v>65837.69</v>
      </c>
      <c r="D1551">
        <v>29</v>
      </c>
      <c r="E1551" s="1">
        <v>50124.59</v>
      </c>
      <c r="F1551" s="1">
        <v>115962.28</v>
      </c>
    </row>
    <row r="1552" spans="1:6" x14ac:dyDescent="0.35">
      <c r="A1552">
        <v>200242</v>
      </c>
      <c r="B1552">
        <v>23</v>
      </c>
      <c r="C1552" s="1">
        <v>50295.51</v>
      </c>
      <c r="D1552">
        <v>26</v>
      </c>
      <c r="E1552" s="1">
        <v>65466.89</v>
      </c>
      <c r="F1552" s="1">
        <v>115762.4</v>
      </c>
    </row>
    <row r="1553" spans="1:6" x14ac:dyDescent="0.35">
      <c r="A1553">
        <v>200635</v>
      </c>
      <c r="B1553">
        <v>25</v>
      </c>
      <c r="C1553" s="1">
        <v>65499.77</v>
      </c>
      <c r="D1553">
        <v>26</v>
      </c>
      <c r="E1553" s="1">
        <v>50116.94</v>
      </c>
      <c r="F1553" s="1">
        <v>115616.709999999</v>
      </c>
    </row>
    <row r="1554" spans="1:6" x14ac:dyDescent="0.35">
      <c r="A1554">
        <v>201262</v>
      </c>
      <c r="B1554">
        <v>22</v>
      </c>
      <c r="C1554" s="1">
        <v>39259.050000000003</v>
      </c>
      <c r="D1554">
        <v>29</v>
      </c>
      <c r="E1554" s="1">
        <v>76277.91</v>
      </c>
      <c r="F1554" s="1">
        <v>115536.96000000001</v>
      </c>
    </row>
    <row r="1555" spans="1:6" x14ac:dyDescent="0.35">
      <c r="A1555">
        <v>200076</v>
      </c>
      <c r="B1555">
        <v>23</v>
      </c>
      <c r="C1555" s="1">
        <v>64905.22</v>
      </c>
      <c r="D1555">
        <v>23</v>
      </c>
      <c r="E1555" s="1">
        <v>50567.14</v>
      </c>
      <c r="F1555" s="1">
        <v>115472.36</v>
      </c>
    </row>
    <row r="1556" spans="1:6" x14ac:dyDescent="0.35">
      <c r="A1556">
        <v>201298</v>
      </c>
      <c r="B1556">
        <v>28</v>
      </c>
      <c r="C1556" s="1">
        <v>58655.45</v>
      </c>
      <c r="D1556">
        <v>19</v>
      </c>
      <c r="E1556" s="1">
        <v>56658.54</v>
      </c>
      <c r="F1556" s="1">
        <v>115313.989999999</v>
      </c>
    </row>
    <row r="1557" spans="1:6" x14ac:dyDescent="0.35">
      <c r="A1557">
        <v>201164</v>
      </c>
      <c r="B1557">
        <v>26</v>
      </c>
      <c r="C1557" s="1">
        <v>53584.09</v>
      </c>
      <c r="D1557">
        <v>29</v>
      </c>
      <c r="E1557" s="1">
        <v>61289.67</v>
      </c>
      <c r="F1557" s="1">
        <v>114873.76</v>
      </c>
    </row>
    <row r="1558" spans="1:6" x14ac:dyDescent="0.35">
      <c r="A1558">
        <v>200272</v>
      </c>
      <c r="B1558">
        <v>19</v>
      </c>
      <c r="C1558" s="1">
        <v>43701.48</v>
      </c>
      <c r="D1558">
        <v>30</v>
      </c>
      <c r="E1558" s="1">
        <v>70993.11</v>
      </c>
      <c r="F1558" s="1">
        <v>114694.59</v>
      </c>
    </row>
    <row r="1559" spans="1:6" x14ac:dyDescent="0.35">
      <c r="A1559">
        <v>200269</v>
      </c>
      <c r="B1559">
        <v>23</v>
      </c>
      <c r="C1559" s="1">
        <v>58823.14</v>
      </c>
      <c r="D1559">
        <v>22</v>
      </c>
      <c r="E1559" s="1">
        <v>55808.82</v>
      </c>
      <c r="F1559" s="1">
        <v>114631.959999999</v>
      </c>
    </row>
    <row r="1560" spans="1:6" x14ac:dyDescent="0.35">
      <c r="A1560">
        <v>201648</v>
      </c>
      <c r="B1560">
        <v>29</v>
      </c>
      <c r="C1560" s="1">
        <v>59353.35</v>
      </c>
      <c r="D1560">
        <v>27</v>
      </c>
      <c r="E1560" s="1">
        <v>55263.43</v>
      </c>
      <c r="F1560" s="1">
        <v>114616.78</v>
      </c>
    </row>
    <row r="1561" spans="1:6" x14ac:dyDescent="0.35">
      <c r="A1561">
        <v>200861</v>
      </c>
      <c r="B1561">
        <v>21</v>
      </c>
      <c r="C1561" s="1">
        <v>47986.879999999997</v>
      </c>
      <c r="D1561">
        <v>26</v>
      </c>
      <c r="E1561" s="1">
        <v>66572.149999999994</v>
      </c>
      <c r="F1561" s="1">
        <v>114559.03</v>
      </c>
    </row>
    <row r="1562" spans="1:6" x14ac:dyDescent="0.35">
      <c r="A1562">
        <v>201002</v>
      </c>
      <c r="B1562">
        <v>24</v>
      </c>
      <c r="C1562" s="1">
        <v>62400.86</v>
      </c>
      <c r="D1562">
        <v>18</v>
      </c>
      <c r="E1562" s="1">
        <v>51891.86</v>
      </c>
      <c r="F1562" s="1">
        <v>114292.72</v>
      </c>
    </row>
    <row r="1563" spans="1:6" x14ac:dyDescent="0.35">
      <c r="A1563">
        <v>200498</v>
      </c>
      <c r="B1563">
        <v>26</v>
      </c>
      <c r="C1563" s="1">
        <v>51553.53</v>
      </c>
      <c r="D1563">
        <v>24</v>
      </c>
      <c r="E1563" s="1">
        <v>62721.919999999998</v>
      </c>
      <c r="F1563" s="1">
        <v>114275.45</v>
      </c>
    </row>
    <row r="1564" spans="1:6" x14ac:dyDescent="0.35">
      <c r="A1564">
        <v>201545</v>
      </c>
      <c r="B1564">
        <v>24</v>
      </c>
      <c r="C1564" s="1">
        <v>56116.63</v>
      </c>
      <c r="D1564">
        <v>18</v>
      </c>
      <c r="E1564" s="1">
        <v>58101.93</v>
      </c>
      <c r="F1564" s="1">
        <v>114218.56</v>
      </c>
    </row>
    <row r="1565" spans="1:6" x14ac:dyDescent="0.35">
      <c r="A1565">
        <v>201246</v>
      </c>
      <c r="B1565">
        <v>21</v>
      </c>
      <c r="C1565" s="1">
        <v>50195.79</v>
      </c>
      <c r="D1565">
        <v>32</v>
      </c>
      <c r="E1565" s="1">
        <v>63849.82</v>
      </c>
      <c r="F1565" s="1">
        <v>114045.61</v>
      </c>
    </row>
    <row r="1566" spans="1:6" x14ac:dyDescent="0.35">
      <c r="A1566">
        <v>200470</v>
      </c>
      <c r="B1566">
        <v>23</v>
      </c>
      <c r="C1566" s="1">
        <v>46622.66</v>
      </c>
      <c r="D1566">
        <v>25</v>
      </c>
      <c r="E1566" s="1">
        <v>67416.02</v>
      </c>
      <c r="F1566" s="1">
        <v>114038.68</v>
      </c>
    </row>
    <row r="1567" spans="1:6" x14ac:dyDescent="0.35">
      <c r="A1567">
        <v>201575</v>
      </c>
      <c r="B1567">
        <v>24</v>
      </c>
      <c r="C1567" s="1">
        <v>44219.98</v>
      </c>
      <c r="D1567">
        <v>24</v>
      </c>
      <c r="E1567" s="1">
        <v>69683.3</v>
      </c>
      <c r="F1567" s="1">
        <v>113903.28</v>
      </c>
    </row>
    <row r="1568" spans="1:6" x14ac:dyDescent="0.35">
      <c r="A1568">
        <v>201036</v>
      </c>
      <c r="B1568">
        <v>24</v>
      </c>
      <c r="C1568" s="1">
        <v>51196.59</v>
      </c>
      <c r="D1568">
        <v>24</v>
      </c>
      <c r="E1568" s="1">
        <v>62443.7</v>
      </c>
      <c r="F1568" s="1">
        <v>113640.29</v>
      </c>
    </row>
    <row r="1569" spans="1:6" x14ac:dyDescent="0.35">
      <c r="A1569">
        <v>201056</v>
      </c>
      <c r="B1569">
        <v>21</v>
      </c>
      <c r="C1569" s="1">
        <v>57243.13</v>
      </c>
      <c r="D1569">
        <v>23</v>
      </c>
      <c r="E1569" s="1">
        <v>56325.43</v>
      </c>
      <c r="F1569" s="1">
        <v>113568.56</v>
      </c>
    </row>
    <row r="1570" spans="1:6" x14ac:dyDescent="0.35">
      <c r="A1570">
        <v>200813</v>
      </c>
      <c r="B1570">
        <v>23</v>
      </c>
      <c r="C1570" s="1">
        <v>53452.84</v>
      </c>
      <c r="D1570">
        <v>24</v>
      </c>
      <c r="E1570" s="1">
        <v>59918.400000000001</v>
      </c>
      <c r="F1570" s="1">
        <v>113371.239999999</v>
      </c>
    </row>
    <row r="1571" spans="1:6" x14ac:dyDescent="0.35">
      <c r="A1571">
        <v>200051</v>
      </c>
      <c r="B1571">
        <v>27</v>
      </c>
      <c r="C1571" s="1">
        <v>63027.61</v>
      </c>
      <c r="D1571">
        <v>17</v>
      </c>
      <c r="E1571" s="1">
        <v>50133.11</v>
      </c>
      <c r="F1571" s="1">
        <v>113160.72</v>
      </c>
    </row>
    <row r="1572" spans="1:6" x14ac:dyDescent="0.35">
      <c r="A1572">
        <v>200472</v>
      </c>
      <c r="B1572">
        <v>21</v>
      </c>
      <c r="C1572" s="1">
        <v>53215.15</v>
      </c>
      <c r="D1572">
        <v>27</v>
      </c>
      <c r="E1572" s="1">
        <v>59911.18</v>
      </c>
      <c r="F1572" s="1">
        <v>113126.33</v>
      </c>
    </row>
    <row r="1573" spans="1:6" x14ac:dyDescent="0.35">
      <c r="A1573">
        <v>200089</v>
      </c>
      <c r="B1573">
        <v>23</v>
      </c>
      <c r="C1573" s="1">
        <v>66343.72</v>
      </c>
      <c r="D1573">
        <v>18</v>
      </c>
      <c r="E1573" s="1">
        <v>46560.37</v>
      </c>
      <c r="F1573" s="1">
        <v>112904.09</v>
      </c>
    </row>
    <row r="1574" spans="1:6" x14ac:dyDescent="0.35">
      <c r="A1574">
        <v>200167</v>
      </c>
      <c r="B1574">
        <v>27</v>
      </c>
      <c r="C1574" s="1">
        <v>67978.92</v>
      </c>
      <c r="D1574">
        <v>21</v>
      </c>
      <c r="E1574" s="1">
        <v>44812.71</v>
      </c>
      <c r="F1574" s="1">
        <v>112791.63</v>
      </c>
    </row>
    <row r="1575" spans="1:6" x14ac:dyDescent="0.35">
      <c r="A1575">
        <v>200069</v>
      </c>
      <c r="B1575">
        <v>29</v>
      </c>
      <c r="C1575" s="1">
        <v>69607.37</v>
      </c>
      <c r="D1575">
        <v>23</v>
      </c>
      <c r="E1575" s="1">
        <v>43136</v>
      </c>
      <c r="F1575" s="1">
        <v>112743.37</v>
      </c>
    </row>
    <row r="1576" spans="1:6" x14ac:dyDescent="0.35">
      <c r="A1576">
        <v>200885</v>
      </c>
      <c r="B1576">
        <v>25</v>
      </c>
      <c r="C1576" s="1">
        <v>56305.68</v>
      </c>
      <c r="D1576">
        <v>27</v>
      </c>
      <c r="E1576" s="1">
        <v>56169.77</v>
      </c>
      <c r="F1576" s="1">
        <v>112475.45</v>
      </c>
    </row>
    <row r="1577" spans="1:6" x14ac:dyDescent="0.35">
      <c r="A1577">
        <v>200518</v>
      </c>
      <c r="B1577">
        <v>22</v>
      </c>
      <c r="C1577" s="1">
        <v>49281.61</v>
      </c>
      <c r="D1577">
        <v>26</v>
      </c>
      <c r="E1577" s="1">
        <v>63112.14</v>
      </c>
      <c r="F1577" s="1">
        <v>112393.75</v>
      </c>
    </row>
    <row r="1578" spans="1:6" x14ac:dyDescent="0.35">
      <c r="A1578">
        <v>200429</v>
      </c>
      <c r="B1578">
        <v>22</v>
      </c>
      <c r="C1578" s="1">
        <v>51580.1</v>
      </c>
      <c r="D1578">
        <v>29</v>
      </c>
      <c r="E1578" s="1">
        <v>60720.94</v>
      </c>
      <c r="F1578" s="1">
        <v>112301.04</v>
      </c>
    </row>
    <row r="1579" spans="1:6" x14ac:dyDescent="0.35">
      <c r="A1579">
        <v>201536</v>
      </c>
      <c r="B1579">
        <v>27</v>
      </c>
      <c r="C1579" s="1">
        <v>57899.9</v>
      </c>
      <c r="D1579">
        <v>25</v>
      </c>
      <c r="E1579" s="1">
        <v>54363.48</v>
      </c>
      <c r="F1579" s="1">
        <v>112263.38</v>
      </c>
    </row>
    <row r="1580" spans="1:6" x14ac:dyDescent="0.35">
      <c r="A1580">
        <v>200030</v>
      </c>
      <c r="B1580">
        <v>21</v>
      </c>
      <c r="C1580" s="1">
        <v>54946.51</v>
      </c>
      <c r="D1580">
        <v>22</v>
      </c>
      <c r="E1580" s="1">
        <v>57287.29</v>
      </c>
      <c r="F1580" s="1">
        <v>112233.8</v>
      </c>
    </row>
    <row r="1581" spans="1:6" x14ac:dyDescent="0.35">
      <c r="A1581">
        <v>200621</v>
      </c>
      <c r="B1581">
        <v>23</v>
      </c>
      <c r="C1581" s="1">
        <v>50651.15</v>
      </c>
      <c r="D1581">
        <v>26</v>
      </c>
      <c r="E1581" s="1">
        <v>61487.89</v>
      </c>
      <c r="F1581" s="1">
        <v>112139.04</v>
      </c>
    </row>
    <row r="1582" spans="1:6" x14ac:dyDescent="0.35">
      <c r="A1582">
        <v>200393</v>
      </c>
      <c r="B1582">
        <v>22</v>
      </c>
      <c r="C1582" s="1">
        <v>51486.9</v>
      </c>
      <c r="D1582">
        <v>27</v>
      </c>
      <c r="E1582" s="1">
        <v>60338.89</v>
      </c>
      <c r="F1582" s="1">
        <v>111825.79</v>
      </c>
    </row>
    <row r="1583" spans="1:6" x14ac:dyDescent="0.35">
      <c r="A1583">
        <v>201165</v>
      </c>
      <c r="B1583">
        <v>18</v>
      </c>
      <c r="C1583" s="1">
        <v>43719.25</v>
      </c>
      <c r="D1583">
        <v>24</v>
      </c>
      <c r="E1583" s="1">
        <v>67964.27</v>
      </c>
      <c r="F1583" s="1">
        <v>111683.52</v>
      </c>
    </row>
    <row r="1584" spans="1:6" x14ac:dyDescent="0.35">
      <c r="A1584">
        <v>201223</v>
      </c>
      <c r="B1584">
        <v>24</v>
      </c>
      <c r="C1584" s="1">
        <v>68647.78</v>
      </c>
      <c r="D1584">
        <v>20</v>
      </c>
      <c r="E1584" s="1">
        <v>42844.86</v>
      </c>
      <c r="F1584" s="1">
        <v>111492.64</v>
      </c>
    </row>
    <row r="1585" spans="1:6" x14ac:dyDescent="0.35">
      <c r="A1585">
        <v>200156</v>
      </c>
      <c r="B1585">
        <v>25</v>
      </c>
      <c r="C1585" s="1">
        <v>60689.279999999999</v>
      </c>
      <c r="D1585">
        <v>18</v>
      </c>
      <c r="E1585" s="1">
        <v>50745.78</v>
      </c>
      <c r="F1585" s="1">
        <v>111435.06</v>
      </c>
    </row>
    <row r="1586" spans="1:6" x14ac:dyDescent="0.35">
      <c r="A1586">
        <v>200454</v>
      </c>
      <c r="B1586">
        <v>25</v>
      </c>
      <c r="C1586" s="1">
        <v>61766.62</v>
      </c>
      <c r="D1586">
        <v>20</v>
      </c>
      <c r="E1586" s="1">
        <v>49190.05</v>
      </c>
      <c r="F1586" s="1">
        <v>110956.67</v>
      </c>
    </row>
    <row r="1587" spans="1:6" x14ac:dyDescent="0.35">
      <c r="A1587">
        <v>200176</v>
      </c>
      <c r="B1587">
        <v>25</v>
      </c>
      <c r="C1587" s="1">
        <v>55814.09</v>
      </c>
      <c r="D1587">
        <v>22</v>
      </c>
      <c r="E1587" s="1">
        <v>55113.29</v>
      </c>
      <c r="F1587" s="1">
        <v>110927.38</v>
      </c>
    </row>
    <row r="1588" spans="1:6" x14ac:dyDescent="0.35">
      <c r="A1588">
        <v>200473</v>
      </c>
      <c r="B1588">
        <v>33</v>
      </c>
      <c r="C1588" s="1">
        <v>74705.13</v>
      </c>
      <c r="D1588">
        <v>18</v>
      </c>
      <c r="E1588" s="1">
        <v>36219.85</v>
      </c>
      <c r="F1588" s="1">
        <v>110924.98</v>
      </c>
    </row>
    <row r="1589" spans="1:6" x14ac:dyDescent="0.35">
      <c r="A1589">
        <v>201329</v>
      </c>
      <c r="B1589">
        <v>21</v>
      </c>
      <c r="C1589" s="1">
        <v>48238.97</v>
      </c>
      <c r="D1589">
        <v>27</v>
      </c>
      <c r="E1589" s="1">
        <v>62559.8</v>
      </c>
      <c r="F1589" s="1">
        <v>110798.77</v>
      </c>
    </row>
    <row r="1590" spans="1:6" x14ac:dyDescent="0.35">
      <c r="A1590">
        <v>201005</v>
      </c>
      <c r="B1590">
        <v>23</v>
      </c>
      <c r="C1590" s="1">
        <v>60995.25</v>
      </c>
      <c r="D1590">
        <v>23</v>
      </c>
      <c r="E1590" s="1">
        <v>49595.76</v>
      </c>
      <c r="F1590" s="1">
        <v>110591.01</v>
      </c>
    </row>
    <row r="1591" spans="1:6" x14ac:dyDescent="0.35">
      <c r="A1591">
        <v>201429</v>
      </c>
      <c r="B1591">
        <v>20</v>
      </c>
      <c r="C1591" s="1">
        <v>46675.97</v>
      </c>
      <c r="D1591">
        <v>30</v>
      </c>
      <c r="E1591" s="1">
        <v>63514.39</v>
      </c>
      <c r="F1591" s="1">
        <v>110190.36</v>
      </c>
    </row>
    <row r="1592" spans="1:6" x14ac:dyDescent="0.35">
      <c r="A1592">
        <v>200566</v>
      </c>
      <c r="B1592">
        <v>24</v>
      </c>
      <c r="C1592" s="1">
        <v>56288.25</v>
      </c>
      <c r="D1592">
        <v>24</v>
      </c>
      <c r="E1592" s="1">
        <v>53815.87</v>
      </c>
      <c r="F1592" s="1">
        <v>110104.12</v>
      </c>
    </row>
    <row r="1593" spans="1:6" x14ac:dyDescent="0.35">
      <c r="A1593">
        <v>200506</v>
      </c>
      <c r="B1593">
        <v>29</v>
      </c>
      <c r="C1593" s="1">
        <v>58176.33</v>
      </c>
      <c r="D1593">
        <v>25</v>
      </c>
      <c r="E1593" s="1">
        <v>51766.239999999998</v>
      </c>
      <c r="F1593" s="1">
        <v>109942.57</v>
      </c>
    </row>
    <row r="1594" spans="1:6" x14ac:dyDescent="0.35">
      <c r="A1594">
        <v>200231</v>
      </c>
      <c r="B1594">
        <v>24</v>
      </c>
      <c r="C1594" s="1">
        <v>50975.65</v>
      </c>
      <c r="D1594">
        <v>19</v>
      </c>
      <c r="E1594" s="1">
        <v>58717.78</v>
      </c>
      <c r="F1594" s="1">
        <v>109693.43</v>
      </c>
    </row>
    <row r="1595" spans="1:6" x14ac:dyDescent="0.35">
      <c r="A1595">
        <v>200383</v>
      </c>
      <c r="B1595">
        <v>25</v>
      </c>
      <c r="C1595" s="1">
        <v>62370.13</v>
      </c>
      <c r="D1595">
        <v>25</v>
      </c>
      <c r="E1595" s="1">
        <v>47154.95</v>
      </c>
      <c r="F1595" s="1">
        <v>109525.079999999</v>
      </c>
    </row>
    <row r="1596" spans="1:6" x14ac:dyDescent="0.35">
      <c r="A1596">
        <v>200551</v>
      </c>
      <c r="B1596">
        <v>24</v>
      </c>
      <c r="C1596" s="1">
        <v>47805.62</v>
      </c>
      <c r="D1596">
        <v>22</v>
      </c>
      <c r="E1596" s="1">
        <v>61718.52</v>
      </c>
      <c r="F1596" s="1">
        <v>109524.14</v>
      </c>
    </row>
    <row r="1597" spans="1:6" x14ac:dyDescent="0.35">
      <c r="A1597">
        <v>201465</v>
      </c>
      <c r="B1597">
        <v>28</v>
      </c>
      <c r="C1597" s="1">
        <v>59202.11</v>
      </c>
      <c r="D1597">
        <v>23</v>
      </c>
      <c r="E1597" s="1">
        <v>50289.66</v>
      </c>
      <c r="F1597" s="1">
        <v>109491.77</v>
      </c>
    </row>
    <row r="1598" spans="1:6" x14ac:dyDescent="0.35">
      <c r="A1598">
        <v>200596</v>
      </c>
      <c r="B1598">
        <v>21</v>
      </c>
      <c r="C1598" s="1">
        <v>50575.22</v>
      </c>
      <c r="D1598">
        <v>28</v>
      </c>
      <c r="E1598" s="1">
        <v>58715.65</v>
      </c>
      <c r="F1598" s="1">
        <v>109290.87</v>
      </c>
    </row>
    <row r="1599" spans="1:6" x14ac:dyDescent="0.35">
      <c r="A1599">
        <v>200985</v>
      </c>
      <c r="B1599">
        <v>20</v>
      </c>
      <c r="C1599" s="1">
        <v>39475.370000000003</v>
      </c>
      <c r="D1599">
        <v>24</v>
      </c>
      <c r="E1599" s="1">
        <v>69800.77</v>
      </c>
      <c r="F1599" s="1">
        <v>109276.14</v>
      </c>
    </row>
    <row r="1600" spans="1:6" x14ac:dyDescent="0.35">
      <c r="A1600">
        <v>201537</v>
      </c>
      <c r="B1600">
        <v>18</v>
      </c>
      <c r="C1600" s="1">
        <v>42307.42</v>
      </c>
      <c r="D1600">
        <v>31</v>
      </c>
      <c r="E1600" s="1">
        <v>66876.27</v>
      </c>
      <c r="F1600" s="1">
        <v>109183.69</v>
      </c>
    </row>
    <row r="1601" spans="1:6" x14ac:dyDescent="0.35">
      <c r="A1601">
        <v>201589</v>
      </c>
      <c r="B1601">
        <v>20</v>
      </c>
      <c r="C1601" s="1">
        <v>42474.31</v>
      </c>
      <c r="D1601">
        <v>30</v>
      </c>
      <c r="E1601" s="1">
        <v>66660.740000000005</v>
      </c>
      <c r="F1601" s="1">
        <v>109135.05</v>
      </c>
    </row>
    <row r="1602" spans="1:6" x14ac:dyDescent="0.35">
      <c r="A1602">
        <v>200821</v>
      </c>
      <c r="B1602">
        <v>20</v>
      </c>
      <c r="C1602" s="1">
        <v>44601.49</v>
      </c>
      <c r="D1602">
        <v>30</v>
      </c>
      <c r="E1602" s="1">
        <v>64395.44</v>
      </c>
      <c r="F1602" s="1">
        <v>108996.93</v>
      </c>
    </row>
    <row r="1603" spans="1:6" x14ac:dyDescent="0.35">
      <c r="A1603">
        <v>200670</v>
      </c>
      <c r="B1603">
        <v>26</v>
      </c>
      <c r="C1603" s="1">
        <v>65030.35</v>
      </c>
      <c r="D1603">
        <v>23</v>
      </c>
      <c r="E1603" s="1">
        <v>43432.08</v>
      </c>
      <c r="F1603" s="1">
        <v>108462.43</v>
      </c>
    </row>
    <row r="1604" spans="1:6" x14ac:dyDescent="0.35">
      <c r="A1604">
        <v>201150</v>
      </c>
      <c r="B1604">
        <v>33</v>
      </c>
      <c r="C1604" s="1">
        <v>72802.41</v>
      </c>
      <c r="D1604">
        <v>18</v>
      </c>
      <c r="E1604" s="1">
        <v>35580.339999999997</v>
      </c>
      <c r="F1604" s="1">
        <v>108382.75</v>
      </c>
    </row>
    <row r="1605" spans="1:6" x14ac:dyDescent="0.35">
      <c r="A1605">
        <v>200375</v>
      </c>
      <c r="B1605">
        <v>23</v>
      </c>
      <c r="C1605" s="1">
        <v>41528.78</v>
      </c>
      <c r="D1605">
        <v>28</v>
      </c>
      <c r="E1605" s="1">
        <v>66282.17</v>
      </c>
      <c r="F1605" s="1">
        <v>107810.95</v>
      </c>
    </row>
    <row r="1606" spans="1:6" x14ac:dyDescent="0.35">
      <c r="A1606">
        <v>200902</v>
      </c>
      <c r="B1606">
        <v>16</v>
      </c>
      <c r="C1606" s="1">
        <v>39940.58</v>
      </c>
      <c r="D1606">
        <v>28</v>
      </c>
      <c r="E1606" s="1">
        <v>67807.08</v>
      </c>
      <c r="F1606" s="1">
        <v>107747.66</v>
      </c>
    </row>
    <row r="1607" spans="1:6" x14ac:dyDescent="0.35">
      <c r="A1607">
        <v>201409</v>
      </c>
      <c r="B1607">
        <v>30</v>
      </c>
      <c r="C1607" s="1">
        <v>68255.820000000007</v>
      </c>
      <c r="D1607">
        <v>16</v>
      </c>
      <c r="E1607" s="1">
        <v>39246.31</v>
      </c>
      <c r="F1607" s="1">
        <v>107502.13</v>
      </c>
    </row>
    <row r="1608" spans="1:6" x14ac:dyDescent="0.35">
      <c r="A1608">
        <v>200728</v>
      </c>
      <c r="B1608">
        <v>24</v>
      </c>
      <c r="C1608" s="1">
        <v>48950.64</v>
      </c>
      <c r="D1608">
        <v>30</v>
      </c>
      <c r="E1608" s="1">
        <v>58547.199999999997</v>
      </c>
      <c r="F1608" s="1">
        <v>107497.84</v>
      </c>
    </row>
    <row r="1609" spans="1:6" x14ac:dyDescent="0.35">
      <c r="A1609">
        <v>200681</v>
      </c>
      <c r="B1609">
        <v>22</v>
      </c>
      <c r="C1609" s="1">
        <v>52003.59</v>
      </c>
      <c r="D1609">
        <v>24</v>
      </c>
      <c r="E1609" s="1">
        <v>55473.41</v>
      </c>
      <c r="F1609" s="1">
        <v>107477</v>
      </c>
    </row>
    <row r="1610" spans="1:6" x14ac:dyDescent="0.35">
      <c r="A1610">
        <v>200237</v>
      </c>
      <c r="B1610">
        <v>24</v>
      </c>
      <c r="C1610" s="1">
        <v>52304.77</v>
      </c>
      <c r="D1610">
        <v>26</v>
      </c>
      <c r="E1610" s="1">
        <v>55137.24</v>
      </c>
      <c r="F1610" s="1">
        <v>107442.01</v>
      </c>
    </row>
    <row r="1611" spans="1:6" x14ac:dyDescent="0.35">
      <c r="A1611">
        <v>200837</v>
      </c>
      <c r="B1611">
        <v>21</v>
      </c>
      <c r="C1611" s="1">
        <v>43063.37</v>
      </c>
      <c r="D1611">
        <v>31</v>
      </c>
      <c r="E1611" s="1">
        <v>64090.85</v>
      </c>
      <c r="F1611" s="1">
        <v>107154.22</v>
      </c>
    </row>
    <row r="1612" spans="1:6" x14ac:dyDescent="0.35">
      <c r="A1612">
        <v>201596</v>
      </c>
      <c r="B1612">
        <v>29</v>
      </c>
      <c r="C1612" s="1">
        <v>69486.33</v>
      </c>
      <c r="D1612">
        <v>18</v>
      </c>
      <c r="E1612" s="1">
        <v>37426.93</v>
      </c>
      <c r="F1612" s="1">
        <v>106913.26</v>
      </c>
    </row>
    <row r="1613" spans="1:6" x14ac:dyDescent="0.35">
      <c r="A1613">
        <v>200109</v>
      </c>
      <c r="B1613">
        <v>26</v>
      </c>
      <c r="C1613" s="1">
        <v>58564.85</v>
      </c>
      <c r="D1613">
        <v>20</v>
      </c>
      <c r="E1613" s="1">
        <v>48337.97</v>
      </c>
      <c r="F1613" s="1">
        <v>106902.82</v>
      </c>
    </row>
    <row r="1614" spans="1:6" x14ac:dyDescent="0.35">
      <c r="A1614">
        <v>201299</v>
      </c>
      <c r="B1614">
        <v>19</v>
      </c>
      <c r="C1614" s="1">
        <v>47084.4</v>
      </c>
      <c r="D1614">
        <v>27</v>
      </c>
      <c r="E1614" s="1">
        <v>59402.77</v>
      </c>
      <c r="F1614" s="1">
        <v>106487.17</v>
      </c>
    </row>
    <row r="1615" spans="1:6" x14ac:dyDescent="0.35">
      <c r="A1615">
        <v>200684</v>
      </c>
      <c r="B1615">
        <v>26</v>
      </c>
      <c r="C1615" s="1">
        <v>48248.51</v>
      </c>
      <c r="D1615">
        <v>24</v>
      </c>
      <c r="E1615" s="1">
        <v>58147.1</v>
      </c>
      <c r="F1615" s="1">
        <v>106395.61</v>
      </c>
    </row>
    <row r="1616" spans="1:6" x14ac:dyDescent="0.35">
      <c r="A1616">
        <v>200699</v>
      </c>
      <c r="B1616">
        <v>19</v>
      </c>
      <c r="C1616" s="1">
        <v>57655.95</v>
      </c>
      <c r="D1616">
        <v>24</v>
      </c>
      <c r="E1616" s="1">
        <v>48644.49</v>
      </c>
      <c r="F1616" s="1">
        <v>106300.44</v>
      </c>
    </row>
    <row r="1617" spans="1:6" x14ac:dyDescent="0.35">
      <c r="A1617">
        <v>201218</v>
      </c>
      <c r="B1617">
        <v>22</v>
      </c>
      <c r="C1617" s="1">
        <v>50038.71</v>
      </c>
      <c r="D1617">
        <v>19</v>
      </c>
      <c r="E1617" s="1">
        <v>56216.1</v>
      </c>
      <c r="F1617" s="1">
        <v>106254.81</v>
      </c>
    </row>
    <row r="1618" spans="1:6" x14ac:dyDescent="0.35">
      <c r="A1618">
        <v>201611</v>
      </c>
      <c r="B1618">
        <v>25</v>
      </c>
      <c r="C1618" s="1">
        <v>51686.73</v>
      </c>
      <c r="D1618">
        <v>21</v>
      </c>
      <c r="E1618" s="1">
        <v>54494.94</v>
      </c>
      <c r="F1618" s="1">
        <v>106181.67</v>
      </c>
    </row>
    <row r="1619" spans="1:6" x14ac:dyDescent="0.35">
      <c r="A1619">
        <v>200863</v>
      </c>
      <c r="B1619">
        <v>26</v>
      </c>
      <c r="C1619" s="1">
        <v>52843.51</v>
      </c>
      <c r="D1619">
        <v>21</v>
      </c>
      <c r="E1619" s="1">
        <v>52989.8</v>
      </c>
      <c r="F1619" s="1">
        <v>105833.31</v>
      </c>
    </row>
    <row r="1620" spans="1:6" x14ac:dyDescent="0.35">
      <c r="A1620">
        <v>201391</v>
      </c>
      <c r="B1620">
        <v>23</v>
      </c>
      <c r="C1620" s="1">
        <v>54783.83</v>
      </c>
      <c r="D1620">
        <v>26</v>
      </c>
      <c r="E1620" s="1">
        <v>51033.3</v>
      </c>
      <c r="F1620" s="1">
        <v>105817.13</v>
      </c>
    </row>
    <row r="1621" spans="1:6" x14ac:dyDescent="0.35">
      <c r="A1621">
        <v>201019</v>
      </c>
      <c r="B1621">
        <v>21</v>
      </c>
      <c r="C1621" s="1">
        <v>58350.42</v>
      </c>
      <c r="D1621">
        <v>26</v>
      </c>
      <c r="E1621" s="1">
        <v>47285.07</v>
      </c>
      <c r="F1621" s="1">
        <v>105635.489999999</v>
      </c>
    </row>
    <row r="1622" spans="1:6" x14ac:dyDescent="0.35">
      <c r="A1622">
        <v>201574</v>
      </c>
      <c r="B1622">
        <v>23</v>
      </c>
      <c r="C1622" s="1">
        <v>51395.96</v>
      </c>
      <c r="D1622">
        <v>19</v>
      </c>
      <c r="E1622" s="1">
        <v>54231.09</v>
      </c>
      <c r="F1622" s="1">
        <v>105627.049999999</v>
      </c>
    </row>
    <row r="1623" spans="1:6" x14ac:dyDescent="0.35">
      <c r="A1623">
        <v>200960</v>
      </c>
      <c r="B1623">
        <v>19</v>
      </c>
      <c r="C1623" s="1">
        <v>40568.519999999997</v>
      </c>
      <c r="D1623">
        <v>28</v>
      </c>
      <c r="E1623" s="1">
        <v>64797.43</v>
      </c>
      <c r="F1623" s="1">
        <v>105365.95</v>
      </c>
    </row>
    <row r="1624" spans="1:6" x14ac:dyDescent="0.35">
      <c r="A1624">
        <v>200323</v>
      </c>
      <c r="B1624">
        <v>28</v>
      </c>
      <c r="C1624" s="1">
        <v>78589.25</v>
      </c>
      <c r="D1624">
        <v>16</v>
      </c>
      <c r="E1624" s="1">
        <v>26145.27</v>
      </c>
      <c r="F1624" s="1">
        <v>104734.52</v>
      </c>
    </row>
    <row r="1625" spans="1:6" x14ac:dyDescent="0.35">
      <c r="A1625">
        <v>201259</v>
      </c>
      <c r="B1625">
        <v>24</v>
      </c>
      <c r="C1625" s="1">
        <v>52372</v>
      </c>
      <c r="D1625">
        <v>19</v>
      </c>
      <c r="E1625" s="1">
        <v>51330.57</v>
      </c>
      <c r="F1625" s="1">
        <v>103702.57</v>
      </c>
    </row>
    <row r="1626" spans="1:6" x14ac:dyDescent="0.35">
      <c r="A1626">
        <v>200104</v>
      </c>
      <c r="B1626">
        <v>24</v>
      </c>
      <c r="C1626" s="1">
        <v>59542.71</v>
      </c>
      <c r="D1626">
        <v>18</v>
      </c>
      <c r="E1626" s="1">
        <v>44146.36</v>
      </c>
      <c r="F1626" s="1">
        <v>103689.07</v>
      </c>
    </row>
    <row r="1627" spans="1:6" x14ac:dyDescent="0.35">
      <c r="A1627">
        <v>200468</v>
      </c>
      <c r="B1627">
        <v>27</v>
      </c>
      <c r="C1627" s="1">
        <v>58605.65</v>
      </c>
      <c r="D1627">
        <v>22</v>
      </c>
      <c r="E1627" s="1">
        <v>44891.15</v>
      </c>
      <c r="F1627" s="1">
        <v>103496.8</v>
      </c>
    </row>
    <row r="1628" spans="1:6" x14ac:dyDescent="0.35">
      <c r="A1628">
        <v>200956</v>
      </c>
      <c r="B1628">
        <v>19</v>
      </c>
      <c r="C1628" s="1">
        <v>38275.769999999997</v>
      </c>
      <c r="D1628">
        <v>24</v>
      </c>
      <c r="E1628" s="1">
        <v>64975.58</v>
      </c>
      <c r="F1628" s="1">
        <v>103251.35</v>
      </c>
    </row>
    <row r="1629" spans="1:6" x14ac:dyDescent="0.35">
      <c r="A1629">
        <v>201033</v>
      </c>
      <c r="B1629">
        <v>25</v>
      </c>
      <c r="C1629" s="1">
        <v>55588.05</v>
      </c>
      <c r="D1629">
        <v>21</v>
      </c>
      <c r="E1629" s="1">
        <v>47538.95</v>
      </c>
      <c r="F1629" s="1">
        <v>103127</v>
      </c>
    </row>
    <row r="1630" spans="1:6" x14ac:dyDescent="0.35">
      <c r="A1630">
        <v>200310</v>
      </c>
      <c r="B1630">
        <v>26</v>
      </c>
      <c r="C1630" s="1">
        <v>60408.87</v>
      </c>
      <c r="D1630">
        <v>16</v>
      </c>
      <c r="E1630" s="1">
        <v>42387.49</v>
      </c>
      <c r="F1630" s="1">
        <v>102796.36</v>
      </c>
    </row>
    <row r="1631" spans="1:6" x14ac:dyDescent="0.35">
      <c r="A1631">
        <v>200143</v>
      </c>
      <c r="B1631">
        <v>28</v>
      </c>
      <c r="C1631" s="1">
        <v>77377.440000000002</v>
      </c>
      <c r="D1631">
        <v>21</v>
      </c>
      <c r="E1631" s="1">
        <v>25065.88</v>
      </c>
      <c r="F1631" s="1">
        <v>102443.32</v>
      </c>
    </row>
    <row r="1632" spans="1:6" x14ac:dyDescent="0.35">
      <c r="A1632">
        <v>200277</v>
      </c>
      <c r="B1632">
        <v>15</v>
      </c>
      <c r="C1632" s="1">
        <v>34322.85</v>
      </c>
      <c r="D1632">
        <v>27</v>
      </c>
      <c r="E1632" s="1">
        <v>67599.7</v>
      </c>
      <c r="F1632" s="1">
        <v>101922.549999999</v>
      </c>
    </row>
    <row r="1633" spans="1:6" x14ac:dyDescent="0.35">
      <c r="A1633">
        <v>201228</v>
      </c>
      <c r="B1633">
        <v>23</v>
      </c>
      <c r="C1633" s="1">
        <v>55043.73</v>
      </c>
      <c r="D1633">
        <v>17</v>
      </c>
      <c r="E1633" s="1">
        <v>46241.57</v>
      </c>
      <c r="F1633" s="1">
        <v>101285.3</v>
      </c>
    </row>
    <row r="1634" spans="1:6" x14ac:dyDescent="0.35">
      <c r="A1634">
        <v>201303</v>
      </c>
      <c r="B1634">
        <v>23</v>
      </c>
      <c r="C1634" s="1">
        <v>52589.120000000003</v>
      </c>
      <c r="D1634">
        <v>20</v>
      </c>
      <c r="E1634" s="1">
        <v>48445.87</v>
      </c>
      <c r="F1634" s="1">
        <v>101034.99</v>
      </c>
    </row>
    <row r="1635" spans="1:6" x14ac:dyDescent="0.35">
      <c r="A1635">
        <v>200130</v>
      </c>
      <c r="B1635">
        <v>23</v>
      </c>
      <c r="C1635" s="1">
        <v>55217.51</v>
      </c>
      <c r="D1635">
        <v>20</v>
      </c>
      <c r="E1635" s="1">
        <v>44992.14</v>
      </c>
      <c r="F1635" s="1">
        <v>100209.65</v>
      </c>
    </row>
    <row r="1636" spans="1:6" x14ac:dyDescent="0.35">
      <c r="A1636">
        <v>200803</v>
      </c>
      <c r="B1636">
        <v>24</v>
      </c>
      <c r="C1636" s="1">
        <v>62507.9</v>
      </c>
      <c r="D1636">
        <v>17</v>
      </c>
      <c r="E1636" s="1">
        <v>35613.269999999997</v>
      </c>
      <c r="F1636" s="1">
        <v>98121.17</v>
      </c>
    </row>
    <row r="1637" spans="1:6" x14ac:dyDescent="0.35">
      <c r="A1637">
        <v>200258</v>
      </c>
      <c r="B1637">
        <v>22</v>
      </c>
      <c r="C1637" s="1">
        <v>43782.400000000001</v>
      </c>
      <c r="D1637">
        <v>22</v>
      </c>
      <c r="E1637" s="1">
        <v>54310.34</v>
      </c>
      <c r="F1637" s="1">
        <v>98092.739999999903</v>
      </c>
    </row>
    <row r="1638" spans="1:6" x14ac:dyDescent="0.35">
      <c r="A1638">
        <v>201557</v>
      </c>
      <c r="B1638">
        <v>21</v>
      </c>
      <c r="C1638" s="1">
        <v>54443.91</v>
      </c>
      <c r="D1638">
        <v>19</v>
      </c>
      <c r="E1638" s="1">
        <v>42532.59</v>
      </c>
      <c r="F1638" s="1">
        <v>96976.5</v>
      </c>
    </row>
    <row r="1639" spans="1:6" x14ac:dyDescent="0.35">
      <c r="A1639">
        <v>201584</v>
      </c>
      <c r="B1639">
        <v>19</v>
      </c>
      <c r="C1639" s="1">
        <v>42364.9</v>
      </c>
      <c r="D1639">
        <v>22</v>
      </c>
      <c r="E1639" s="1">
        <v>54467.26</v>
      </c>
      <c r="F1639" s="1">
        <v>96832.16</v>
      </c>
    </row>
    <row r="1640" spans="1:6" x14ac:dyDescent="0.35">
      <c r="A1640">
        <v>200694</v>
      </c>
      <c r="B1640">
        <v>26</v>
      </c>
      <c r="C1640" s="1">
        <v>51119.3</v>
      </c>
      <c r="D1640">
        <v>21</v>
      </c>
      <c r="E1640" s="1">
        <v>45692.55</v>
      </c>
      <c r="F1640" s="1">
        <v>96811.85</v>
      </c>
    </row>
    <row r="1641" spans="1:6" x14ac:dyDescent="0.35">
      <c r="A1641">
        <v>200298</v>
      </c>
      <c r="B1641">
        <v>20</v>
      </c>
      <c r="C1641" s="1">
        <v>40714.06</v>
      </c>
      <c r="D1641">
        <v>26</v>
      </c>
      <c r="E1641" s="1">
        <v>55502.15</v>
      </c>
      <c r="F1641" s="1">
        <v>96216.209999999905</v>
      </c>
    </row>
    <row r="1642" spans="1:6" x14ac:dyDescent="0.35">
      <c r="A1642">
        <v>201293</v>
      </c>
      <c r="B1642">
        <v>14</v>
      </c>
      <c r="C1642" s="1">
        <v>38947.46</v>
      </c>
      <c r="D1642">
        <v>25</v>
      </c>
      <c r="E1642" s="1">
        <v>56860.6</v>
      </c>
      <c r="F1642" s="1">
        <v>95808.06</v>
      </c>
    </row>
    <row r="1643" spans="1:6" x14ac:dyDescent="0.35">
      <c r="A1643">
        <v>200274</v>
      </c>
      <c r="B1643">
        <v>23</v>
      </c>
      <c r="C1643" s="1">
        <v>44737.42</v>
      </c>
      <c r="D1643">
        <v>26</v>
      </c>
      <c r="E1643" s="1">
        <v>49341.43</v>
      </c>
      <c r="F1643" s="1">
        <v>94078.85</v>
      </c>
    </row>
    <row r="1644" spans="1:6" x14ac:dyDescent="0.35">
      <c r="A1644">
        <v>200542</v>
      </c>
      <c r="B1644">
        <v>24</v>
      </c>
      <c r="C1644" s="1">
        <v>48695.71</v>
      </c>
      <c r="D1644">
        <v>20</v>
      </c>
      <c r="E1644" s="1">
        <v>45237.95</v>
      </c>
      <c r="F1644" s="1">
        <v>93933.66</v>
      </c>
    </row>
    <row r="1645" spans="1:6" x14ac:dyDescent="0.35">
      <c r="A1645">
        <v>201579</v>
      </c>
      <c r="B1645">
        <v>26</v>
      </c>
      <c r="C1645" s="1">
        <v>49793.06</v>
      </c>
      <c r="D1645">
        <v>18</v>
      </c>
      <c r="E1645" s="1">
        <v>43125.48</v>
      </c>
      <c r="F1645" s="1">
        <v>92918.54</v>
      </c>
    </row>
    <row r="1646" spans="1:6" x14ac:dyDescent="0.35">
      <c r="A1646">
        <v>200003</v>
      </c>
      <c r="B1646">
        <v>16</v>
      </c>
      <c r="C1646" s="1">
        <v>36827.589999999997</v>
      </c>
      <c r="D1646">
        <v>24</v>
      </c>
      <c r="E1646" s="1">
        <v>56046.05</v>
      </c>
      <c r="F1646" s="1">
        <v>92873.64</v>
      </c>
    </row>
    <row r="1647" spans="1:6" x14ac:dyDescent="0.35">
      <c r="A1647">
        <v>201127</v>
      </c>
      <c r="B1647">
        <v>17</v>
      </c>
      <c r="C1647" s="1">
        <v>35877.360000000001</v>
      </c>
      <c r="D1647">
        <v>26</v>
      </c>
      <c r="E1647" s="1">
        <v>56363.5</v>
      </c>
      <c r="F1647" s="1">
        <v>92240.86</v>
      </c>
    </row>
    <row r="1648" spans="1:6" x14ac:dyDescent="0.35">
      <c r="A1648">
        <v>200669</v>
      </c>
      <c r="B1648">
        <v>21</v>
      </c>
      <c r="C1648" s="1">
        <v>47325.27</v>
      </c>
      <c r="D1648">
        <v>19</v>
      </c>
      <c r="E1648" s="1">
        <v>40967.06</v>
      </c>
      <c r="F1648" s="1">
        <v>88292.3299999999</v>
      </c>
    </row>
    <row r="1649" spans="1:6" x14ac:dyDescent="0.35">
      <c r="A1649">
        <v>200513</v>
      </c>
      <c r="B1649">
        <v>18</v>
      </c>
      <c r="C1649" s="1">
        <v>41781.83</v>
      </c>
      <c r="D1649">
        <v>20</v>
      </c>
      <c r="E1649" s="1">
        <v>46018.400000000001</v>
      </c>
      <c r="F1649" s="1">
        <v>87800.23</v>
      </c>
    </row>
    <row r="1650" spans="1:6" x14ac:dyDescent="0.35">
      <c r="A1650">
        <v>201460</v>
      </c>
      <c r="B1650">
        <v>20</v>
      </c>
      <c r="C1650" s="1">
        <v>44698.06</v>
      </c>
      <c r="D1650">
        <v>22</v>
      </c>
      <c r="E1650" s="1">
        <v>42663.18</v>
      </c>
      <c r="F1650" s="1">
        <v>87361.239999999903</v>
      </c>
    </row>
    <row r="1651" spans="1:6" x14ac:dyDescent="0.35">
      <c r="A1651">
        <v>200757</v>
      </c>
      <c r="B1651">
        <v>21</v>
      </c>
      <c r="C1651" s="1">
        <v>46530.95</v>
      </c>
      <c r="D1651">
        <v>19</v>
      </c>
      <c r="E1651" s="1">
        <v>40194.1</v>
      </c>
      <c r="F1651" s="1">
        <v>86725.049999999901</v>
      </c>
    </row>
    <row r="1652" spans="1:6" x14ac:dyDescent="0.35">
      <c r="A1652">
        <v>201320</v>
      </c>
      <c r="B1652">
        <v>15</v>
      </c>
      <c r="C1652" s="1">
        <v>37373.279999999999</v>
      </c>
      <c r="D1652">
        <v>17</v>
      </c>
      <c r="E1652" s="1">
        <v>33004.61</v>
      </c>
      <c r="F1652" s="1">
        <v>70377.89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1680-C068-405E-A2CE-D0438E9554BD}">
  <dimension ref="A1:D863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7265625" bestFit="1" customWidth="1"/>
    <col min="2" max="2" width="24.453125" bestFit="1" customWidth="1"/>
    <col min="3" max="3" width="30.7265625" style="1" bestFit="1" customWidth="1"/>
    <col min="4" max="4" width="9.26953125" bestFit="1" customWidth="1"/>
  </cols>
  <sheetData>
    <row r="1" spans="1:4" s="2" customFormat="1" ht="15" customHeight="1" x14ac:dyDescent="0.35">
      <c r="A1" s="2" t="s">
        <v>3</v>
      </c>
      <c r="B1" s="2" t="s">
        <v>1</v>
      </c>
      <c r="C1" s="3" t="s">
        <v>0</v>
      </c>
      <c r="D1" s="2" t="s">
        <v>2</v>
      </c>
    </row>
    <row r="2" spans="1:4" x14ac:dyDescent="0.35">
      <c r="A2">
        <v>10458</v>
      </c>
      <c r="B2">
        <v>300</v>
      </c>
      <c r="C2" s="1">
        <v>755595.12</v>
      </c>
      <c r="D2">
        <v>1</v>
      </c>
    </row>
    <row r="3" spans="1:4" x14ac:dyDescent="0.35">
      <c r="A3">
        <v>10324</v>
      </c>
      <c r="B3">
        <v>203</v>
      </c>
      <c r="C3" s="1">
        <v>513469.42</v>
      </c>
      <c r="D3">
        <v>2</v>
      </c>
    </row>
    <row r="4" spans="1:4" x14ac:dyDescent="0.35">
      <c r="A4">
        <v>11038</v>
      </c>
      <c r="B4">
        <v>211</v>
      </c>
      <c r="C4" s="1">
        <v>505539.75</v>
      </c>
      <c r="D4">
        <v>3</v>
      </c>
    </row>
    <row r="5" spans="1:4" x14ac:dyDescent="0.35">
      <c r="A5">
        <v>10297</v>
      </c>
      <c r="B5">
        <v>183</v>
      </c>
      <c r="C5" s="1">
        <v>493183.81</v>
      </c>
      <c r="D5">
        <v>4</v>
      </c>
    </row>
    <row r="6" spans="1:4" x14ac:dyDescent="0.35">
      <c r="A6">
        <v>11090</v>
      </c>
      <c r="B6">
        <v>191</v>
      </c>
      <c r="C6" s="1">
        <v>488885.57</v>
      </c>
      <c r="D6">
        <v>5</v>
      </c>
    </row>
    <row r="7" spans="1:4" x14ac:dyDescent="0.35">
      <c r="A7">
        <v>10760</v>
      </c>
      <c r="B7">
        <v>192</v>
      </c>
      <c r="C7" s="1">
        <v>455518.67</v>
      </c>
      <c r="D7">
        <v>6</v>
      </c>
    </row>
    <row r="8" spans="1:4" x14ac:dyDescent="0.35">
      <c r="A8">
        <v>10909</v>
      </c>
      <c r="B8">
        <v>183</v>
      </c>
      <c r="C8" s="1">
        <v>454161.19</v>
      </c>
      <c r="D8">
        <v>7</v>
      </c>
    </row>
    <row r="9" spans="1:4" x14ac:dyDescent="0.35">
      <c r="A9">
        <v>10226</v>
      </c>
      <c r="B9">
        <v>175</v>
      </c>
      <c r="C9" s="1">
        <v>436983.54</v>
      </c>
      <c r="D9">
        <v>8</v>
      </c>
    </row>
    <row r="10" spans="1:4" x14ac:dyDescent="0.35">
      <c r="A10">
        <v>10298</v>
      </c>
      <c r="B10">
        <v>163</v>
      </c>
      <c r="C10" s="1">
        <v>426015.78</v>
      </c>
      <c r="D10">
        <v>9</v>
      </c>
    </row>
    <row r="11" spans="1:4" x14ac:dyDescent="0.35">
      <c r="A11">
        <v>10895</v>
      </c>
      <c r="B11">
        <v>170</v>
      </c>
      <c r="C11" s="1">
        <v>424688.68</v>
      </c>
      <c r="D11">
        <v>10</v>
      </c>
    </row>
    <row r="12" spans="1:4" x14ac:dyDescent="0.35">
      <c r="A12">
        <v>10035</v>
      </c>
      <c r="B12">
        <v>166</v>
      </c>
      <c r="C12" s="1">
        <v>422808.59</v>
      </c>
      <c r="D12">
        <v>11</v>
      </c>
    </row>
    <row r="13" spans="1:4" x14ac:dyDescent="0.35">
      <c r="A13">
        <v>10899</v>
      </c>
      <c r="B13">
        <v>167</v>
      </c>
      <c r="C13" s="1">
        <v>410861.78</v>
      </c>
      <c r="D13">
        <v>12</v>
      </c>
    </row>
    <row r="14" spans="1:4" x14ac:dyDescent="0.35">
      <c r="A14">
        <v>10142</v>
      </c>
      <c r="B14">
        <v>158</v>
      </c>
      <c r="C14" s="1">
        <v>401134.82</v>
      </c>
      <c r="D14">
        <v>13</v>
      </c>
    </row>
    <row r="15" spans="1:4" x14ac:dyDescent="0.35">
      <c r="A15">
        <v>10106</v>
      </c>
      <c r="B15">
        <v>156</v>
      </c>
      <c r="C15" s="1">
        <v>394248.22</v>
      </c>
      <c r="D15">
        <v>14</v>
      </c>
    </row>
    <row r="16" spans="1:4" x14ac:dyDescent="0.35">
      <c r="A16">
        <v>10183</v>
      </c>
      <c r="B16">
        <v>150</v>
      </c>
      <c r="C16" s="1">
        <v>387319.65</v>
      </c>
      <c r="D16">
        <v>15</v>
      </c>
    </row>
    <row r="17" spans="1:4" x14ac:dyDescent="0.35">
      <c r="A17">
        <v>10574</v>
      </c>
      <c r="B17">
        <v>145</v>
      </c>
      <c r="C17" s="1">
        <v>385730.03</v>
      </c>
      <c r="D17">
        <v>16</v>
      </c>
    </row>
    <row r="18" spans="1:4" x14ac:dyDescent="0.35">
      <c r="A18">
        <v>10603</v>
      </c>
      <c r="B18">
        <v>150</v>
      </c>
      <c r="C18" s="1">
        <v>371511.14</v>
      </c>
      <c r="D18">
        <v>17</v>
      </c>
    </row>
    <row r="19" spans="1:4" x14ac:dyDescent="0.35">
      <c r="A19">
        <v>10739</v>
      </c>
      <c r="B19">
        <v>146</v>
      </c>
      <c r="C19" s="1">
        <v>364271.72</v>
      </c>
      <c r="D19">
        <v>18</v>
      </c>
    </row>
    <row r="20" spans="1:4" x14ac:dyDescent="0.35">
      <c r="A20">
        <v>10155</v>
      </c>
      <c r="B20">
        <v>150</v>
      </c>
      <c r="C20" s="1">
        <v>362559.39</v>
      </c>
      <c r="D20">
        <v>19</v>
      </c>
    </row>
    <row r="21" spans="1:4" x14ac:dyDescent="0.35">
      <c r="A21">
        <v>10351</v>
      </c>
      <c r="B21">
        <v>128</v>
      </c>
      <c r="C21" s="1">
        <v>352487.13</v>
      </c>
      <c r="D21">
        <v>20</v>
      </c>
    </row>
    <row r="22" spans="1:4" x14ac:dyDescent="0.35">
      <c r="A22">
        <v>10446</v>
      </c>
      <c r="B22">
        <v>139</v>
      </c>
      <c r="C22" s="1">
        <v>346205.35</v>
      </c>
      <c r="D22">
        <v>21</v>
      </c>
    </row>
    <row r="23" spans="1:4" x14ac:dyDescent="0.35">
      <c r="A23">
        <v>10072</v>
      </c>
      <c r="B23">
        <v>143</v>
      </c>
      <c r="C23" s="1">
        <v>341451.34</v>
      </c>
      <c r="D23">
        <v>22</v>
      </c>
    </row>
    <row r="24" spans="1:4" x14ac:dyDescent="0.35">
      <c r="A24">
        <v>10374</v>
      </c>
      <c r="B24">
        <v>137</v>
      </c>
      <c r="C24" s="1">
        <v>337571.8</v>
      </c>
      <c r="D24">
        <v>23</v>
      </c>
    </row>
    <row r="25" spans="1:4" x14ac:dyDescent="0.35">
      <c r="A25">
        <v>10441</v>
      </c>
      <c r="B25">
        <v>129</v>
      </c>
      <c r="C25" s="1">
        <v>331680.18</v>
      </c>
      <c r="D25">
        <v>24</v>
      </c>
    </row>
    <row r="26" spans="1:4" x14ac:dyDescent="0.35">
      <c r="A26">
        <v>10571</v>
      </c>
      <c r="B26">
        <v>134</v>
      </c>
      <c r="C26" s="1">
        <v>329519.89</v>
      </c>
      <c r="D26">
        <v>25</v>
      </c>
    </row>
    <row r="27" spans="1:4" x14ac:dyDescent="0.35">
      <c r="A27">
        <v>10686</v>
      </c>
      <c r="B27">
        <v>135</v>
      </c>
      <c r="C27" s="1">
        <v>329493.5</v>
      </c>
      <c r="D27">
        <v>26</v>
      </c>
    </row>
    <row r="28" spans="1:4" x14ac:dyDescent="0.35">
      <c r="A28">
        <v>10545</v>
      </c>
      <c r="B28">
        <v>124</v>
      </c>
      <c r="C28" s="1">
        <v>327655.38</v>
      </c>
      <c r="D28">
        <v>27</v>
      </c>
    </row>
    <row r="29" spans="1:4" x14ac:dyDescent="0.35">
      <c r="A29">
        <v>11083</v>
      </c>
      <c r="B29">
        <v>128</v>
      </c>
      <c r="C29" s="1">
        <v>326730.71999999997</v>
      </c>
      <c r="D29">
        <v>28</v>
      </c>
    </row>
    <row r="30" spans="1:4" x14ac:dyDescent="0.35">
      <c r="A30">
        <v>10518</v>
      </c>
      <c r="B30">
        <v>133</v>
      </c>
      <c r="C30" s="1">
        <v>325384.82</v>
      </c>
      <c r="D30">
        <v>29</v>
      </c>
    </row>
    <row r="31" spans="1:4" x14ac:dyDescent="0.35">
      <c r="A31">
        <v>10404</v>
      </c>
      <c r="B31">
        <v>130</v>
      </c>
      <c r="C31" s="1">
        <v>323988.56</v>
      </c>
      <c r="D31">
        <v>30</v>
      </c>
    </row>
    <row r="32" spans="1:4" x14ac:dyDescent="0.35">
      <c r="A32">
        <v>10002</v>
      </c>
      <c r="B32">
        <v>124</v>
      </c>
      <c r="C32" s="1">
        <v>323445.21999999997</v>
      </c>
      <c r="D32">
        <v>31</v>
      </c>
    </row>
    <row r="33" spans="1:4" x14ac:dyDescent="0.35">
      <c r="A33">
        <v>10198</v>
      </c>
      <c r="B33">
        <v>121</v>
      </c>
      <c r="C33" s="1">
        <v>320795.59000000003</v>
      </c>
      <c r="D33">
        <v>32</v>
      </c>
    </row>
    <row r="34" spans="1:4" x14ac:dyDescent="0.35">
      <c r="A34">
        <v>11078</v>
      </c>
      <c r="B34">
        <v>127</v>
      </c>
      <c r="C34" s="1">
        <v>319341.98</v>
      </c>
      <c r="D34">
        <v>33</v>
      </c>
    </row>
    <row r="35" spans="1:4" x14ac:dyDescent="0.35">
      <c r="A35">
        <v>10821</v>
      </c>
      <c r="B35">
        <v>128</v>
      </c>
      <c r="C35" s="1">
        <v>318362.21999999997</v>
      </c>
      <c r="D35">
        <v>34</v>
      </c>
    </row>
    <row r="36" spans="1:4" x14ac:dyDescent="0.35">
      <c r="A36">
        <v>10468</v>
      </c>
      <c r="B36">
        <v>115</v>
      </c>
      <c r="C36" s="1">
        <v>315664.52</v>
      </c>
      <c r="D36">
        <v>35</v>
      </c>
    </row>
    <row r="37" spans="1:4" x14ac:dyDescent="0.35">
      <c r="A37">
        <v>10023</v>
      </c>
      <c r="B37">
        <v>126</v>
      </c>
      <c r="C37" s="1">
        <v>308799.63</v>
      </c>
      <c r="D37">
        <v>36</v>
      </c>
    </row>
    <row r="38" spans="1:4" x14ac:dyDescent="0.35">
      <c r="A38">
        <v>11000</v>
      </c>
      <c r="B38">
        <v>116</v>
      </c>
      <c r="C38" s="1">
        <v>301814.34999999998</v>
      </c>
      <c r="D38">
        <v>37</v>
      </c>
    </row>
    <row r="39" spans="1:4" x14ac:dyDescent="0.35">
      <c r="A39">
        <v>11019</v>
      </c>
      <c r="B39">
        <v>124</v>
      </c>
      <c r="C39" s="1">
        <v>300794.09999999998</v>
      </c>
      <c r="D39">
        <v>38</v>
      </c>
    </row>
    <row r="40" spans="1:4" x14ac:dyDescent="0.35">
      <c r="A40">
        <v>10925</v>
      </c>
      <c r="B40">
        <v>123</v>
      </c>
      <c r="C40" s="1">
        <v>299317.90000000002</v>
      </c>
      <c r="D40">
        <v>39</v>
      </c>
    </row>
    <row r="41" spans="1:4" x14ac:dyDescent="0.35">
      <c r="A41">
        <v>10207</v>
      </c>
      <c r="B41">
        <v>114</v>
      </c>
      <c r="C41" s="1">
        <v>299011.20000000001</v>
      </c>
      <c r="D41">
        <v>40</v>
      </c>
    </row>
    <row r="42" spans="1:4" x14ac:dyDescent="0.35">
      <c r="A42">
        <v>10384</v>
      </c>
      <c r="B42">
        <v>119</v>
      </c>
      <c r="C42" s="1">
        <v>297938.62</v>
      </c>
      <c r="D42">
        <v>41</v>
      </c>
    </row>
    <row r="43" spans="1:4" x14ac:dyDescent="0.35">
      <c r="A43">
        <v>10331</v>
      </c>
      <c r="B43">
        <v>109</v>
      </c>
      <c r="C43" s="1">
        <v>296730.36</v>
      </c>
      <c r="D43">
        <v>42</v>
      </c>
    </row>
    <row r="44" spans="1:4" x14ac:dyDescent="0.35">
      <c r="A44">
        <v>10972</v>
      </c>
      <c r="B44">
        <v>111</v>
      </c>
      <c r="C44" s="1">
        <v>294453.5</v>
      </c>
      <c r="D44">
        <v>43</v>
      </c>
    </row>
    <row r="45" spans="1:4" x14ac:dyDescent="0.35">
      <c r="A45">
        <v>10667</v>
      </c>
      <c r="B45">
        <v>116</v>
      </c>
      <c r="C45" s="1">
        <v>291232.94</v>
      </c>
      <c r="D45">
        <v>44</v>
      </c>
    </row>
    <row r="46" spans="1:4" x14ac:dyDescent="0.35">
      <c r="A46">
        <v>10963</v>
      </c>
      <c r="B46">
        <v>112</v>
      </c>
      <c r="C46" s="1">
        <v>290687.94</v>
      </c>
      <c r="D46">
        <v>45</v>
      </c>
    </row>
    <row r="47" spans="1:4" x14ac:dyDescent="0.35">
      <c r="A47">
        <v>10401</v>
      </c>
      <c r="B47">
        <v>115</v>
      </c>
      <c r="C47" s="1">
        <v>289350.02</v>
      </c>
      <c r="D47">
        <v>46</v>
      </c>
    </row>
    <row r="48" spans="1:4" x14ac:dyDescent="0.35">
      <c r="A48">
        <v>10262</v>
      </c>
      <c r="B48">
        <v>115</v>
      </c>
      <c r="C48" s="1">
        <v>287322.09999999998</v>
      </c>
      <c r="D48">
        <v>47</v>
      </c>
    </row>
    <row r="49" spans="1:4" x14ac:dyDescent="0.35">
      <c r="A49">
        <v>10576</v>
      </c>
      <c r="B49">
        <v>110</v>
      </c>
      <c r="C49" s="1">
        <v>287002.83</v>
      </c>
      <c r="D49">
        <v>48</v>
      </c>
    </row>
    <row r="50" spans="1:4" x14ac:dyDescent="0.35">
      <c r="A50">
        <v>10893</v>
      </c>
      <c r="B50">
        <v>104</v>
      </c>
      <c r="C50" s="1">
        <v>286446.75</v>
      </c>
      <c r="D50">
        <v>49</v>
      </c>
    </row>
    <row r="51" spans="1:4" x14ac:dyDescent="0.35">
      <c r="A51">
        <v>10818</v>
      </c>
      <c r="B51">
        <v>113</v>
      </c>
      <c r="C51" s="1">
        <v>286035.05</v>
      </c>
      <c r="D51">
        <v>50</v>
      </c>
    </row>
    <row r="52" spans="1:4" x14ac:dyDescent="0.35">
      <c r="A52">
        <v>11027</v>
      </c>
      <c r="B52">
        <v>105</v>
      </c>
      <c r="C52" s="1">
        <v>285205.51</v>
      </c>
      <c r="D52">
        <v>51</v>
      </c>
    </row>
    <row r="53" spans="1:4" x14ac:dyDescent="0.35">
      <c r="A53">
        <v>10797</v>
      </c>
      <c r="B53">
        <v>115</v>
      </c>
      <c r="C53" s="1">
        <v>283304.40999999997</v>
      </c>
      <c r="D53">
        <v>52</v>
      </c>
    </row>
    <row r="54" spans="1:4" x14ac:dyDescent="0.35">
      <c r="A54">
        <v>10687</v>
      </c>
      <c r="B54">
        <v>113</v>
      </c>
      <c r="C54" s="1">
        <v>283262.23</v>
      </c>
      <c r="D54">
        <v>53</v>
      </c>
    </row>
    <row r="55" spans="1:4" x14ac:dyDescent="0.35">
      <c r="A55">
        <v>10997</v>
      </c>
      <c r="B55">
        <v>109</v>
      </c>
      <c r="C55" s="1">
        <v>282789.65000000002</v>
      </c>
      <c r="D55">
        <v>54</v>
      </c>
    </row>
    <row r="56" spans="1:4" x14ac:dyDescent="0.35">
      <c r="A56">
        <v>10071</v>
      </c>
      <c r="B56">
        <v>109</v>
      </c>
      <c r="C56" s="1">
        <v>281944.92</v>
      </c>
      <c r="D56">
        <v>55</v>
      </c>
    </row>
    <row r="57" spans="1:4" x14ac:dyDescent="0.35">
      <c r="A57">
        <v>10857</v>
      </c>
      <c r="B57">
        <v>114</v>
      </c>
      <c r="C57" s="1">
        <v>281361.90000000002</v>
      </c>
      <c r="D57">
        <v>56</v>
      </c>
    </row>
    <row r="58" spans="1:4" x14ac:dyDescent="0.35">
      <c r="A58">
        <v>10329</v>
      </c>
      <c r="B58">
        <v>103</v>
      </c>
      <c r="C58" s="1">
        <v>279433.71000000002</v>
      </c>
      <c r="D58">
        <v>57</v>
      </c>
    </row>
    <row r="59" spans="1:4" x14ac:dyDescent="0.35">
      <c r="A59">
        <v>10349</v>
      </c>
      <c r="B59">
        <v>103</v>
      </c>
      <c r="C59" s="1">
        <v>277262.84999999998</v>
      </c>
      <c r="D59">
        <v>58</v>
      </c>
    </row>
    <row r="60" spans="1:4" x14ac:dyDescent="0.35">
      <c r="A60">
        <v>10535</v>
      </c>
      <c r="B60">
        <v>113</v>
      </c>
      <c r="C60" s="1">
        <v>277192.69</v>
      </c>
      <c r="D60">
        <v>59</v>
      </c>
    </row>
    <row r="61" spans="1:4" x14ac:dyDescent="0.35">
      <c r="A61">
        <v>10565</v>
      </c>
      <c r="B61">
        <v>118</v>
      </c>
      <c r="C61" s="1">
        <v>277007.15000000002</v>
      </c>
      <c r="D61">
        <v>60</v>
      </c>
    </row>
    <row r="62" spans="1:4" x14ac:dyDescent="0.35">
      <c r="A62">
        <v>10584</v>
      </c>
      <c r="B62">
        <v>111</v>
      </c>
      <c r="C62" s="1">
        <v>276188.94</v>
      </c>
      <c r="D62">
        <v>61</v>
      </c>
    </row>
    <row r="63" spans="1:4" x14ac:dyDescent="0.35">
      <c r="A63">
        <v>10670</v>
      </c>
      <c r="B63">
        <v>98</v>
      </c>
      <c r="C63" s="1">
        <v>275458.78000000003</v>
      </c>
      <c r="D63">
        <v>62</v>
      </c>
    </row>
    <row r="64" spans="1:4" x14ac:dyDescent="0.35">
      <c r="A64">
        <v>10694</v>
      </c>
      <c r="B64">
        <v>101</v>
      </c>
      <c r="C64" s="1">
        <v>275146.53000000003</v>
      </c>
      <c r="D64">
        <v>63</v>
      </c>
    </row>
    <row r="65" spans="1:4" x14ac:dyDescent="0.35">
      <c r="A65">
        <v>10179</v>
      </c>
      <c r="B65">
        <v>111</v>
      </c>
      <c r="C65" s="1">
        <v>273949.82</v>
      </c>
      <c r="D65">
        <v>64</v>
      </c>
    </row>
    <row r="66" spans="1:4" x14ac:dyDescent="0.35">
      <c r="A66">
        <v>10734</v>
      </c>
      <c r="B66">
        <v>111</v>
      </c>
      <c r="C66" s="1">
        <v>272455.7</v>
      </c>
      <c r="D66">
        <v>65</v>
      </c>
    </row>
    <row r="67" spans="1:4" x14ac:dyDescent="0.35">
      <c r="A67">
        <v>10160</v>
      </c>
      <c r="B67">
        <v>101</v>
      </c>
      <c r="C67" s="1">
        <v>271785.73</v>
      </c>
      <c r="D67">
        <v>66</v>
      </c>
    </row>
    <row r="68" spans="1:4" x14ac:dyDescent="0.35">
      <c r="A68">
        <v>10996</v>
      </c>
      <c r="B68">
        <v>107</v>
      </c>
      <c r="C68" s="1">
        <v>271465.34999999998</v>
      </c>
      <c r="D68">
        <v>67</v>
      </c>
    </row>
    <row r="69" spans="1:4" x14ac:dyDescent="0.35">
      <c r="A69">
        <v>10125</v>
      </c>
      <c r="B69">
        <v>109</v>
      </c>
      <c r="C69" s="1">
        <v>270908.57</v>
      </c>
      <c r="D69">
        <v>68</v>
      </c>
    </row>
    <row r="70" spans="1:4" x14ac:dyDescent="0.35">
      <c r="A70">
        <v>10229</v>
      </c>
      <c r="B70">
        <v>103</v>
      </c>
      <c r="C70" s="1">
        <v>270060.69</v>
      </c>
      <c r="D70">
        <v>69</v>
      </c>
    </row>
    <row r="71" spans="1:4" x14ac:dyDescent="0.35">
      <c r="A71">
        <v>10427</v>
      </c>
      <c r="B71">
        <v>111</v>
      </c>
      <c r="C71" s="1">
        <v>269587.8</v>
      </c>
      <c r="D71">
        <v>70</v>
      </c>
    </row>
    <row r="72" spans="1:4" x14ac:dyDescent="0.35">
      <c r="A72">
        <v>10177</v>
      </c>
      <c r="B72">
        <v>109</v>
      </c>
      <c r="C72" s="1">
        <v>269388.5</v>
      </c>
      <c r="D72">
        <v>71</v>
      </c>
    </row>
    <row r="73" spans="1:4" x14ac:dyDescent="0.35">
      <c r="A73">
        <v>10741</v>
      </c>
      <c r="B73">
        <v>101</v>
      </c>
      <c r="C73" s="1">
        <v>266352.93</v>
      </c>
      <c r="D73">
        <v>72</v>
      </c>
    </row>
    <row r="74" spans="1:4" x14ac:dyDescent="0.35">
      <c r="A74">
        <v>10906</v>
      </c>
      <c r="B74">
        <v>103</v>
      </c>
      <c r="C74" s="1">
        <v>264880.42</v>
      </c>
      <c r="D74">
        <v>73</v>
      </c>
    </row>
    <row r="75" spans="1:4" x14ac:dyDescent="0.35">
      <c r="A75">
        <v>10511</v>
      </c>
      <c r="B75">
        <v>105</v>
      </c>
      <c r="C75" s="1">
        <v>264153.19</v>
      </c>
      <c r="D75">
        <v>74</v>
      </c>
    </row>
    <row r="76" spans="1:4" x14ac:dyDescent="0.35">
      <c r="A76">
        <v>10526</v>
      </c>
      <c r="B76">
        <v>92</v>
      </c>
      <c r="C76" s="1">
        <v>264100.47999999998</v>
      </c>
      <c r="D76">
        <v>75</v>
      </c>
    </row>
    <row r="77" spans="1:4" x14ac:dyDescent="0.35">
      <c r="A77">
        <v>10335</v>
      </c>
      <c r="B77">
        <v>99</v>
      </c>
      <c r="C77" s="1">
        <v>263936.83</v>
      </c>
      <c r="D77">
        <v>76</v>
      </c>
    </row>
    <row r="78" spans="1:4" x14ac:dyDescent="0.35">
      <c r="A78">
        <v>10838</v>
      </c>
      <c r="B78">
        <v>93</v>
      </c>
      <c r="C78" s="1">
        <v>263221.57</v>
      </c>
      <c r="D78">
        <v>77</v>
      </c>
    </row>
    <row r="79" spans="1:4" x14ac:dyDescent="0.35">
      <c r="A79">
        <v>10236</v>
      </c>
      <c r="B79">
        <v>100</v>
      </c>
      <c r="C79" s="1">
        <v>262549.44</v>
      </c>
      <c r="D79">
        <v>78</v>
      </c>
    </row>
    <row r="80" spans="1:4" x14ac:dyDescent="0.35">
      <c r="A80">
        <v>10368</v>
      </c>
      <c r="B80">
        <v>97</v>
      </c>
      <c r="C80" s="1">
        <v>262449.01</v>
      </c>
      <c r="D80">
        <v>79</v>
      </c>
    </row>
    <row r="81" spans="1:4" x14ac:dyDescent="0.35">
      <c r="A81">
        <v>10706</v>
      </c>
      <c r="B81">
        <v>108</v>
      </c>
      <c r="C81" s="1">
        <v>262391.09999999998</v>
      </c>
      <c r="D81">
        <v>80</v>
      </c>
    </row>
    <row r="82" spans="1:4" x14ac:dyDescent="0.35">
      <c r="A82">
        <v>11046</v>
      </c>
      <c r="B82">
        <v>112</v>
      </c>
      <c r="C82" s="1">
        <v>261373.69</v>
      </c>
      <c r="D82">
        <v>81</v>
      </c>
    </row>
    <row r="83" spans="1:4" x14ac:dyDescent="0.35">
      <c r="A83">
        <v>10227</v>
      </c>
      <c r="B83">
        <v>103</v>
      </c>
      <c r="C83" s="1">
        <v>260807.3</v>
      </c>
      <c r="D83">
        <v>82</v>
      </c>
    </row>
    <row r="84" spans="1:4" x14ac:dyDescent="0.35">
      <c r="A84">
        <v>10773</v>
      </c>
      <c r="B84">
        <v>96</v>
      </c>
      <c r="C84" s="1">
        <v>260451.4</v>
      </c>
      <c r="D84">
        <v>83</v>
      </c>
    </row>
    <row r="85" spans="1:4" x14ac:dyDescent="0.35">
      <c r="A85">
        <v>10649</v>
      </c>
      <c r="B85">
        <v>94</v>
      </c>
      <c r="C85" s="1">
        <v>257910.02</v>
      </c>
      <c r="D85">
        <v>84</v>
      </c>
    </row>
    <row r="86" spans="1:4" x14ac:dyDescent="0.35">
      <c r="A86">
        <v>10575</v>
      </c>
      <c r="B86">
        <v>105</v>
      </c>
      <c r="C86" s="1">
        <v>256686.85</v>
      </c>
      <c r="D86">
        <v>85</v>
      </c>
    </row>
    <row r="87" spans="1:4" x14ac:dyDescent="0.35">
      <c r="A87">
        <v>11092</v>
      </c>
      <c r="B87">
        <v>98</v>
      </c>
      <c r="C87" s="1">
        <v>256487.23</v>
      </c>
      <c r="D87">
        <v>86</v>
      </c>
    </row>
    <row r="88" spans="1:4" x14ac:dyDescent="0.35">
      <c r="A88">
        <v>10813</v>
      </c>
      <c r="B88">
        <v>105</v>
      </c>
      <c r="C88" s="1">
        <v>255332.3</v>
      </c>
      <c r="D88">
        <v>87</v>
      </c>
    </row>
    <row r="89" spans="1:4" x14ac:dyDescent="0.35">
      <c r="A89">
        <v>10819</v>
      </c>
      <c r="B89">
        <v>95</v>
      </c>
      <c r="C89" s="1">
        <v>254895.55</v>
      </c>
      <c r="D89">
        <v>88</v>
      </c>
    </row>
    <row r="90" spans="1:4" x14ac:dyDescent="0.35">
      <c r="A90">
        <v>10541</v>
      </c>
      <c r="B90">
        <v>104</v>
      </c>
      <c r="C90" s="1">
        <v>253790.13</v>
      </c>
      <c r="D90">
        <v>89</v>
      </c>
    </row>
    <row r="91" spans="1:4" x14ac:dyDescent="0.35">
      <c r="A91">
        <v>10357</v>
      </c>
      <c r="B91">
        <v>107</v>
      </c>
      <c r="C91" s="1">
        <v>253578.26</v>
      </c>
      <c r="D91">
        <v>90</v>
      </c>
    </row>
    <row r="92" spans="1:4" x14ac:dyDescent="0.35">
      <c r="A92">
        <v>10892</v>
      </c>
      <c r="B92">
        <v>101</v>
      </c>
      <c r="C92" s="1">
        <v>251919.27</v>
      </c>
      <c r="D92">
        <v>91</v>
      </c>
    </row>
    <row r="93" spans="1:4" x14ac:dyDescent="0.35">
      <c r="A93">
        <v>10573</v>
      </c>
      <c r="B93">
        <v>88</v>
      </c>
      <c r="C93" s="1">
        <v>251509.87</v>
      </c>
      <c r="D93">
        <v>92</v>
      </c>
    </row>
    <row r="94" spans="1:4" x14ac:dyDescent="0.35">
      <c r="A94">
        <v>10494</v>
      </c>
      <c r="B94">
        <v>93</v>
      </c>
      <c r="C94" s="1">
        <v>251195.15</v>
      </c>
      <c r="D94">
        <v>93</v>
      </c>
    </row>
    <row r="95" spans="1:4" x14ac:dyDescent="0.35">
      <c r="A95">
        <v>10956</v>
      </c>
      <c r="B95">
        <v>102</v>
      </c>
      <c r="C95" s="1">
        <v>248226.9</v>
      </c>
      <c r="D95">
        <v>94</v>
      </c>
    </row>
    <row r="96" spans="1:4" x14ac:dyDescent="0.35">
      <c r="A96">
        <v>10766</v>
      </c>
      <c r="B96">
        <v>99</v>
      </c>
      <c r="C96" s="1">
        <v>248139.64</v>
      </c>
      <c r="D96">
        <v>95</v>
      </c>
    </row>
    <row r="97" spans="1:4" x14ac:dyDescent="0.35">
      <c r="A97">
        <v>10048</v>
      </c>
      <c r="B97">
        <v>101</v>
      </c>
      <c r="C97" s="1">
        <v>247737.2</v>
      </c>
      <c r="D97">
        <v>96</v>
      </c>
    </row>
    <row r="98" spans="1:4" x14ac:dyDescent="0.35">
      <c r="A98">
        <v>10133</v>
      </c>
      <c r="B98">
        <v>96</v>
      </c>
      <c r="C98" s="1">
        <v>247440.41</v>
      </c>
      <c r="D98">
        <v>97</v>
      </c>
    </row>
    <row r="99" spans="1:4" x14ac:dyDescent="0.35">
      <c r="A99">
        <v>10205</v>
      </c>
      <c r="B99">
        <v>94</v>
      </c>
      <c r="C99" s="1">
        <v>247211.04</v>
      </c>
      <c r="D99">
        <v>98</v>
      </c>
    </row>
    <row r="100" spans="1:4" x14ac:dyDescent="0.35">
      <c r="A100">
        <v>10557</v>
      </c>
      <c r="B100">
        <v>109</v>
      </c>
      <c r="C100" s="1">
        <v>246019.81</v>
      </c>
      <c r="D100">
        <v>99</v>
      </c>
    </row>
    <row r="101" spans="1:4" x14ac:dyDescent="0.35">
      <c r="A101">
        <v>10543</v>
      </c>
      <c r="B101">
        <v>89</v>
      </c>
      <c r="C101" s="1">
        <v>245436.52</v>
      </c>
      <c r="D101">
        <v>100</v>
      </c>
    </row>
    <row r="102" spans="1:4" x14ac:dyDescent="0.35">
      <c r="A102">
        <v>10506</v>
      </c>
      <c r="B102">
        <v>96</v>
      </c>
      <c r="C102" s="1">
        <v>245372.31</v>
      </c>
      <c r="D102">
        <v>101</v>
      </c>
    </row>
    <row r="103" spans="1:4" x14ac:dyDescent="0.35">
      <c r="A103">
        <v>10287</v>
      </c>
      <c r="B103">
        <v>93</v>
      </c>
      <c r="C103" s="1">
        <v>245146.17</v>
      </c>
      <c r="D103">
        <v>102</v>
      </c>
    </row>
    <row r="104" spans="1:4" x14ac:dyDescent="0.35">
      <c r="A104">
        <v>10343</v>
      </c>
      <c r="B104">
        <v>106</v>
      </c>
      <c r="C104" s="1">
        <v>245077.07</v>
      </c>
      <c r="D104">
        <v>103</v>
      </c>
    </row>
    <row r="105" spans="1:4" x14ac:dyDescent="0.35">
      <c r="A105">
        <v>11030</v>
      </c>
      <c r="B105">
        <v>92</v>
      </c>
      <c r="C105" s="1">
        <v>244062.71</v>
      </c>
      <c r="D105">
        <v>104</v>
      </c>
    </row>
    <row r="106" spans="1:4" x14ac:dyDescent="0.35">
      <c r="A106">
        <v>10478</v>
      </c>
      <c r="B106">
        <v>83</v>
      </c>
      <c r="C106" s="1">
        <v>243541.71</v>
      </c>
      <c r="D106">
        <v>105</v>
      </c>
    </row>
    <row r="107" spans="1:4" x14ac:dyDescent="0.35">
      <c r="A107">
        <v>10933</v>
      </c>
      <c r="B107">
        <v>101</v>
      </c>
      <c r="C107" s="1">
        <v>240920.32000000001</v>
      </c>
      <c r="D107">
        <v>106</v>
      </c>
    </row>
    <row r="108" spans="1:4" x14ac:dyDescent="0.35">
      <c r="A108">
        <v>10418</v>
      </c>
      <c r="B108">
        <v>91</v>
      </c>
      <c r="C108" s="1">
        <v>240863.72</v>
      </c>
      <c r="D108">
        <v>107</v>
      </c>
    </row>
    <row r="109" spans="1:4" x14ac:dyDescent="0.35">
      <c r="A109">
        <v>10459</v>
      </c>
      <c r="B109">
        <v>89</v>
      </c>
      <c r="C109" s="1">
        <v>240552.64</v>
      </c>
      <c r="D109">
        <v>108</v>
      </c>
    </row>
    <row r="110" spans="1:4" x14ac:dyDescent="0.35">
      <c r="A110">
        <v>10738</v>
      </c>
      <c r="B110">
        <v>92</v>
      </c>
      <c r="C110" s="1">
        <v>240433.91</v>
      </c>
      <c r="D110">
        <v>109</v>
      </c>
    </row>
    <row r="111" spans="1:4" x14ac:dyDescent="0.35">
      <c r="A111">
        <v>10395</v>
      </c>
      <c r="B111">
        <v>104</v>
      </c>
      <c r="C111" s="1">
        <v>239830.49</v>
      </c>
      <c r="D111">
        <v>110</v>
      </c>
    </row>
    <row r="112" spans="1:4" x14ac:dyDescent="0.35">
      <c r="A112">
        <v>10283</v>
      </c>
      <c r="B112">
        <v>97</v>
      </c>
      <c r="C112" s="1">
        <v>239154.01</v>
      </c>
      <c r="D112">
        <v>111</v>
      </c>
    </row>
    <row r="113" spans="1:4" x14ac:dyDescent="0.35">
      <c r="A113">
        <v>11086</v>
      </c>
      <c r="B113">
        <v>88</v>
      </c>
      <c r="C113" s="1">
        <v>238865.65</v>
      </c>
      <c r="D113">
        <v>112</v>
      </c>
    </row>
    <row r="114" spans="1:4" x14ac:dyDescent="0.35">
      <c r="A114">
        <v>10707</v>
      </c>
      <c r="B114">
        <v>89</v>
      </c>
      <c r="C114" s="1">
        <v>237229.82</v>
      </c>
      <c r="D114">
        <v>113</v>
      </c>
    </row>
    <row r="115" spans="1:4" x14ac:dyDescent="0.35">
      <c r="A115">
        <v>11051</v>
      </c>
      <c r="B115">
        <v>94</v>
      </c>
      <c r="C115" s="1">
        <v>236904.53</v>
      </c>
      <c r="D115">
        <v>114</v>
      </c>
    </row>
    <row r="116" spans="1:4" x14ac:dyDescent="0.35">
      <c r="A116">
        <v>10800</v>
      </c>
      <c r="B116">
        <v>103</v>
      </c>
      <c r="C116" s="1">
        <v>236143.43</v>
      </c>
      <c r="D116">
        <v>115</v>
      </c>
    </row>
    <row r="117" spans="1:4" x14ac:dyDescent="0.35">
      <c r="A117">
        <v>10058</v>
      </c>
      <c r="B117">
        <v>91</v>
      </c>
      <c r="C117" s="1">
        <v>235959.62</v>
      </c>
      <c r="D117">
        <v>116</v>
      </c>
    </row>
    <row r="118" spans="1:4" x14ac:dyDescent="0.35">
      <c r="A118">
        <v>10293</v>
      </c>
      <c r="B118">
        <v>85</v>
      </c>
      <c r="C118" s="1">
        <v>235860.29</v>
      </c>
      <c r="D118">
        <v>117</v>
      </c>
    </row>
    <row r="119" spans="1:4" x14ac:dyDescent="0.35">
      <c r="A119">
        <v>10551</v>
      </c>
      <c r="B119">
        <v>89</v>
      </c>
      <c r="C119" s="1">
        <v>235611.41</v>
      </c>
      <c r="D119">
        <v>118</v>
      </c>
    </row>
    <row r="120" spans="1:4" x14ac:dyDescent="0.35">
      <c r="A120">
        <v>10637</v>
      </c>
      <c r="B120">
        <v>97</v>
      </c>
      <c r="C120" s="1">
        <v>235446.17</v>
      </c>
      <c r="D120">
        <v>119</v>
      </c>
    </row>
    <row r="121" spans="1:4" x14ac:dyDescent="0.35">
      <c r="A121">
        <v>10710</v>
      </c>
      <c r="B121">
        <v>84</v>
      </c>
      <c r="C121" s="1">
        <v>235219.51</v>
      </c>
      <c r="D121">
        <v>120</v>
      </c>
    </row>
    <row r="122" spans="1:4" x14ac:dyDescent="0.35">
      <c r="A122">
        <v>10908</v>
      </c>
      <c r="B122">
        <v>98</v>
      </c>
      <c r="C122" s="1">
        <v>234885.02</v>
      </c>
      <c r="D122">
        <v>121</v>
      </c>
    </row>
    <row r="123" spans="1:4" x14ac:dyDescent="0.35">
      <c r="A123">
        <v>10286</v>
      </c>
      <c r="B123">
        <v>98</v>
      </c>
      <c r="C123" s="1">
        <v>234696.97</v>
      </c>
      <c r="D123">
        <v>122</v>
      </c>
    </row>
    <row r="124" spans="1:4" x14ac:dyDescent="0.35">
      <c r="A124">
        <v>11081</v>
      </c>
      <c r="B124">
        <v>100</v>
      </c>
      <c r="C124" s="1">
        <v>233098.27</v>
      </c>
      <c r="D124">
        <v>123</v>
      </c>
    </row>
    <row r="125" spans="1:4" x14ac:dyDescent="0.35">
      <c r="A125">
        <v>10024</v>
      </c>
      <c r="B125">
        <v>96</v>
      </c>
      <c r="C125" s="1">
        <v>232862.18</v>
      </c>
      <c r="D125">
        <v>124</v>
      </c>
    </row>
    <row r="126" spans="1:4" x14ac:dyDescent="0.35">
      <c r="A126">
        <v>10727</v>
      </c>
      <c r="B126">
        <v>95</v>
      </c>
      <c r="C126" s="1">
        <v>232677.75</v>
      </c>
      <c r="D126">
        <v>125</v>
      </c>
    </row>
    <row r="127" spans="1:4" x14ac:dyDescent="0.35">
      <c r="A127">
        <v>10107</v>
      </c>
      <c r="B127">
        <v>86</v>
      </c>
      <c r="C127" s="1">
        <v>232608.74</v>
      </c>
      <c r="D127">
        <v>126</v>
      </c>
    </row>
    <row r="128" spans="1:4" x14ac:dyDescent="0.35">
      <c r="A128">
        <v>10774</v>
      </c>
      <c r="B128">
        <v>91</v>
      </c>
      <c r="C128" s="1">
        <v>232336.95</v>
      </c>
      <c r="D128">
        <v>127</v>
      </c>
    </row>
    <row r="129" spans="1:4" x14ac:dyDescent="0.35">
      <c r="A129">
        <v>10662</v>
      </c>
      <c r="B129">
        <v>88</v>
      </c>
      <c r="C129" s="1">
        <v>232199.08</v>
      </c>
      <c r="D129">
        <v>128</v>
      </c>
    </row>
    <row r="130" spans="1:4" x14ac:dyDescent="0.35">
      <c r="A130">
        <v>10749</v>
      </c>
      <c r="B130">
        <v>85</v>
      </c>
      <c r="C130" s="1">
        <v>231676.03</v>
      </c>
      <c r="D130">
        <v>129</v>
      </c>
    </row>
    <row r="131" spans="1:4" x14ac:dyDescent="0.35">
      <c r="A131">
        <v>10904</v>
      </c>
      <c r="B131">
        <v>97</v>
      </c>
      <c r="C131" s="1">
        <v>231068.57</v>
      </c>
      <c r="D131">
        <v>130</v>
      </c>
    </row>
    <row r="132" spans="1:4" x14ac:dyDescent="0.35">
      <c r="A132">
        <v>10524</v>
      </c>
      <c r="B132">
        <v>92</v>
      </c>
      <c r="C132" s="1">
        <v>231029.4</v>
      </c>
      <c r="D132">
        <v>131</v>
      </c>
    </row>
    <row r="133" spans="1:4" x14ac:dyDescent="0.35">
      <c r="A133">
        <v>10894</v>
      </c>
      <c r="B133">
        <v>96</v>
      </c>
      <c r="C133" s="1">
        <v>228820.15</v>
      </c>
      <c r="D133">
        <v>132</v>
      </c>
    </row>
    <row r="134" spans="1:4" x14ac:dyDescent="0.35">
      <c r="A134">
        <v>10390</v>
      </c>
      <c r="B134">
        <v>89</v>
      </c>
      <c r="C134" s="1">
        <v>227546.17</v>
      </c>
      <c r="D134">
        <v>133</v>
      </c>
    </row>
    <row r="135" spans="1:4" x14ac:dyDescent="0.35">
      <c r="A135">
        <v>10369</v>
      </c>
      <c r="B135">
        <v>92</v>
      </c>
      <c r="C135" s="1">
        <v>227425.44</v>
      </c>
      <c r="D135">
        <v>134</v>
      </c>
    </row>
    <row r="136" spans="1:4" x14ac:dyDescent="0.35">
      <c r="A136">
        <v>10624</v>
      </c>
      <c r="B136">
        <v>86</v>
      </c>
      <c r="C136" s="1">
        <v>227275.33</v>
      </c>
      <c r="D136">
        <v>135</v>
      </c>
    </row>
    <row r="137" spans="1:4" x14ac:dyDescent="0.35">
      <c r="A137">
        <v>10913</v>
      </c>
      <c r="B137">
        <v>91</v>
      </c>
      <c r="C137" s="1">
        <v>227143.25</v>
      </c>
      <c r="D137">
        <v>136</v>
      </c>
    </row>
    <row r="138" spans="1:4" x14ac:dyDescent="0.35">
      <c r="A138">
        <v>10423</v>
      </c>
      <c r="B138">
        <v>96</v>
      </c>
      <c r="C138" s="1">
        <v>227096.23</v>
      </c>
      <c r="D138">
        <v>137</v>
      </c>
    </row>
    <row r="139" spans="1:4" x14ac:dyDescent="0.35">
      <c r="A139">
        <v>10655</v>
      </c>
      <c r="B139">
        <v>91</v>
      </c>
      <c r="C139" s="1">
        <v>226993.3</v>
      </c>
      <c r="D139">
        <v>138</v>
      </c>
    </row>
    <row r="140" spans="1:4" x14ac:dyDescent="0.35">
      <c r="A140">
        <v>10431</v>
      </c>
      <c r="B140">
        <v>93</v>
      </c>
      <c r="C140" s="1">
        <v>226730.58</v>
      </c>
      <c r="D140">
        <v>139</v>
      </c>
    </row>
    <row r="141" spans="1:4" x14ac:dyDescent="0.35">
      <c r="A141">
        <v>10392</v>
      </c>
      <c r="B141">
        <v>98</v>
      </c>
      <c r="C141" s="1">
        <v>226442.2</v>
      </c>
      <c r="D141">
        <v>140</v>
      </c>
    </row>
    <row r="142" spans="1:4" x14ac:dyDescent="0.35">
      <c r="A142">
        <v>10280</v>
      </c>
      <c r="B142">
        <v>91</v>
      </c>
      <c r="C142" s="1">
        <v>225795.56</v>
      </c>
      <c r="D142">
        <v>141</v>
      </c>
    </row>
    <row r="143" spans="1:4" x14ac:dyDescent="0.35">
      <c r="A143">
        <v>10495</v>
      </c>
      <c r="B143">
        <v>85</v>
      </c>
      <c r="C143" s="1">
        <v>225713.99</v>
      </c>
      <c r="D143">
        <v>142</v>
      </c>
    </row>
    <row r="144" spans="1:4" x14ac:dyDescent="0.35">
      <c r="A144">
        <v>10745</v>
      </c>
      <c r="B144">
        <v>86</v>
      </c>
      <c r="C144" s="1">
        <v>225091.14</v>
      </c>
      <c r="D144">
        <v>143</v>
      </c>
    </row>
    <row r="145" spans="1:4" x14ac:dyDescent="0.35">
      <c r="A145">
        <v>11080</v>
      </c>
      <c r="B145">
        <v>88</v>
      </c>
      <c r="C145" s="1">
        <v>223587.52</v>
      </c>
      <c r="D145">
        <v>144</v>
      </c>
    </row>
    <row r="146" spans="1:4" x14ac:dyDescent="0.35">
      <c r="A146">
        <v>10075</v>
      </c>
      <c r="B146">
        <v>93</v>
      </c>
      <c r="C146" s="1">
        <v>223379.41</v>
      </c>
      <c r="D146">
        <v>145</v>
      </c>
    </row>
    <row r="147" spans="1:4" x14ac:dyDescent="0.35">
      <c r="A147">
        <v>10061</v>
      </c>
      <c r="B147">
        <v>91</v>
      </c>
      <c r="C147" s="1">
        <v>222801.95</v>
      </c>
      <c r="D147">
        <v>146</v>
      </c>
    </row>
    <row r="148" spans="1:4" x14ac:dyDescent="0.35">
      <c r="A148">
        <v>10199</v>
      </c>
      <c r="B148">
        <v>92</v>
      </c>
      <c r="C148" s="1">
        <v>222778.97</v>
      </c>
      <c r="D148">
        <v>147</v>
      </c>
    </row>
    <row r="149" spans="1:4" x14ac:dyDescent="0.35">
      <c r="A149">
        <v>10502</v>
      </c>
      <c r="B149">
        <v>89</v>
      </c>
      <c r="C149" s="1">
        <v>222041.67</v>
      </c>
      <c r="D149">
        <v>148</v>
      </c>
    </row>
    <row r="150" spans="1:4" x14ac:dyDescent="0.35">
      <c r="A150">
        <v>11097</v>
      </c>
      <c r="B150">
        <v>85</v>
      </c>
      <c r="C150" s="1">
        <v>221210.45</v>
      </c>
      <c r="D150">
        <v>149</v>
      </c>
    </row>
    <row r="151" spans="1:4" x14ac:dyDescent="0.35">
      <c r="A151">
        <v>10436</v>
      </c>
      <c r="B151">
        <v>88</v>
      </c>
      <c r="C151" s="1">
        <v>221096.73</v>
      </c>
      <c r="D151">
        <v>150</v>
      </c>
    </row>
    <row r="152" spans="1:4" x14ac:dyDescent="0.35">
      <c r="A152">
        <v>11022</v>
      </c>
      <c r="B152">
        <v>86</v>
      </c>
      <c r="C152" s="1">
        <v>221030.64</v>
      </c>
      <c r="D152">
        <v>151</v>
      </c>
    </row>
    <row r="153" spans="1:4" x14ac:dyDescent="0.35">
      <c r="A153">
        <v>10842</v>
      </c>
      <c r="B153">
        <v>86</v>
      </c>
      <c r="C153" s="1">
        <v>220683.34</v>
      </c>
      <c r="D153">
        <v>152</v>
      </c>
    </row>
    <row r="154" spans="1:4" x14ac:dyDescent="0.35">
      <c r="A154">
        <v>10740</v>
      </c>
      <c r="B154">
        <v>94</v>
      </c>
      <c r="C154" s="1">
        <v>220676.94</v>
      </c>
      <c r="D154">
        <v>153</v>
      </c>
    </row>
    <row r="155" spans="1:4" x14ac:dyDescent="0.35">
      <c r="A155">
        <v>10045</v>
      </c>
      <c r="B155">
        <v>88</v>
      </c>
      <c r="C155" s="1">
        <v>220153.56</v>
      </c>
      <c r="D155">
        <v>154</v>
      </c>
    </row>
    <row r="156" spans="1:4" x14ac:dyDescent="0.35">
      <c r="A156">
        <v>10485</v>
      </c>
      <c r="B156">
        <v>89</v>
      </c>
      <c r="C156" s="1">
        <v>219884.74</v>
      </c>
      <c r="D156">
        <v>155</v>
      </c>
    </row>
    <row r="157" spans="1:4" x14ac:dyDescent="0.35">
      <c r="A157">
        <v>10338</v>
      </c>
      <c r="B157">
        <v>92</v>
      </c>
      <c r="C157" s="1">
        <v>219066.23999999999</v>
      </c>
      <c r="D157">
        <v>156</v>
      </c>
    </row>
    <row r="158" spans="1:4" x14ac:dyDescent="0.35">
      <c r="A158">
        <v>10729</v>
      </c>
      <c r="B158">
        <v>77</v>
      </c>
      <c r="C158" s="1">
        <v>218585.48</v>
      </c>
      <c r="D158">
        <v>157</v>
      </c>
    </row>
    <row r="159" spans="1:4" x14ac:dyDescent="0.35">
      <c r="A159">
        <v>10010</v>
      </c>
      <c r="B159">
        <v>91</v>
      </c>
      <c r="C159" s="1">
        <v>218502.07</v>
      </c>
      <c r="D159">
        <v>158</v>
      </c>
    </row>
    <row r="160" spans="1:4" x14ac:dyDescent="0.35">
      <c r="A160">
        <v>10135</v>
      </c>
      <c r="B160">
        <v>82</v>
      </c>
      <c r="C160" s="1">
        <v>218453.03</v>
      </c>
      <c r="D160">
        <v>159</v>
      </c>
    </row>
    <row r="161" spans="1:4" x14ac:dyDescent="0.35">
      <c r="A161">
        <v>10515</v>
      </c>
      <c r="B161">
        <v>78</v>
      </c>
      <c r="C161" s="1">
        <v>217997</v>
      </c>
      <c r="D161">
        <v>160</v>
      </c>
    </row>
    <row r="162" spans="1:4" x14ac:dyDescent="0.35">
      <c r="A162">
        <v>10966</v>
      </c>
      <c r="B162">
        <v>89</v>
      </c>
      <c r="C162" s="1">
        <v>217633.2</v>
      </c>
      <c r="D162">
        <v>161</v>
      </c>
    </row>
    <row r="163" spans="1:4" x14ac:dyDescent="0.35">
      <c r="A163">
        <v>10174</v>
      </c>
      <c r="B163">
        <v>86</v>
      </c>
      <c r="C163" s="1">
        <v>216667.05</v>
      </c>
      <c r="D163">
        <v>162</v>
      </c>
    </row>
    <row r="164" spans="1:4" x14ac:dyDescent="0.35">
      <c r="A164">
        <v>10643</v>
      </c>
      <c r="B164">
        <v>90</v>
      </c>
      <c r="C164" s="1">
        <v>216377.29</v>
      </c>
      <c r="D164">
        <v>163</v>
      </c>
    </row>
    <row r="165" spans="1:4" x14ac:dyDescent="0.35">
      <c r="A165">
        <v>11008</v>
      </c>
      <c r="B165">
        <v>92</v>
      </c>
      <c r="C165" s="1">
        <v>216257.81</v>
      </c>
      <c r="D165">
        <v>164</v>
      </c>
    </row>
    <row r="166" spans="1:4" x14ac:dyDescent="0.35">
      <c r="A166">
        <v>10593</v>
      </c>
      <c r="B166">
        <v>92</v>
      </c>
      <c r="C166" s="1">
        <v>216175.89</v>
      </c>
      <c r="D166">
        <v>165</v>
      </c>
    </row>
    <row r="167" spans="1:4" x14ac:dyDescent="0.35">
      <c r="A167">
        <v>10822</v>
      </c>
      <c r="B167">
        <v>88</v>
      </c>
      <c r="C167" s="1">
        <v>216126.45</v>
      </c>
      <c r="D167">
        <v>166</v>
      </c>
    </row>
    <row r="168" spans="1:4" x14ac:dyDescent="0.35">
      <c r="A168">
        <v>10143</v>
      </c>
      <c r="B168">
        <v>86</v>
      </c>
      <c r="C168" s="1">
        <v>215624.15</v>
      </c>
      <c r="D168">
        <v>167</v>
      </c>
    </row>
    <row r="169" spans="1:4" x14ac:dyDescent="0.35">
      <c r="A169">
        <v>10561</v>
      </c>
      <c r="B169">
        <v>92</v>
      </c>
      <c r="C169" s="1">
        <v>215537.29</v>
      </c>
      <c r="D169">
        <v>168</v>
      </c>
    </row>
    <row r="170" spans="1:4" x14ac:dyDescent="0.35">
      <c r="A170">
        <v>10703</v>
      </c>
      <c r="B170">
        <v>90</v>
      </c>
      <c r="C170" s="1">
        <v>215094.95</v>
      </c>
      <c r="D170">
        <v>169</v>
      </c>
    </row>
    <row r="171" spans="1:4" x14ac:dyDescent="0.35">
      <c r="A171">
        <v>10596</v>
      </c>
      <c r="B171">
        <v>79</v>
      </c>
      <c r="C171" s="1">
        <v>214437.28</v>
      </c>
      <c r="D171">
        <v>170</v>
      </c>
    </row>
    <row r="172" spans="1:4" x14ac:dyDescent="0.35">
      <c r="A172">
        <v>10248</v>
      </c>
      <c r="B172">
        <v>88</v>
      </c>
      <c r="C172" s="1">
        <v>214251.74</v>
      </c>
      <c r="D172">
        <v>171</v>
      </c>
    </row>
    <row r="173" spans="1:4" x14ac:dyDescent="0.35">
      <c r="A173">
        <v>10224</v>
      </c>
      <c r="B173">
        <v>86</v>
      </c>
      <c r="C173" s="1">
        <v>213743.84</v>
      </c>
      <c r="D173">
        <v>172</v>
      </c>
    </row>
    <row r="174" spans="1:4" x14ac:dyDescent="0.35">
      <c r="A174">
        <v>10867</v>
      </c>
      <c r="B174">
        <v>89</v>
      </c>
      <c r="C174" s="1">
        <v>213568.38</v>
      </c>
      <c r="D174">
        <v>173</v>
      </c>
    </row>
    <row r="175" spans="1:4" x14ac:dyDescent="0.35">
      <c r="A175">
        <v>10243</v>
      </c>
      <c r="B175">
        <v>87</v>
      </c>
      <c r="C175" s="1">
        <v>213444.74</v>
      </c>
      <c r="D175">
        <v>174</v>
      </c>
    </row>
    <row r="176" spans="1:4" x14ac:dyDescent="0.35">
      <c r="A176">
        <v>11076</v>
      </c>
      <c r="B176">
        <v>90</v>
      </c>
      <c r="C176" s="1">
        <v>213344.75</v>
      </c>
      <c r="D176">
        <v>175</v>
      </c>
    </row>
    <row r="177" spans="1:4" x14ac:dyDescent="0.35">
      <c r="A177">
        <v>10568</v>
      </c>
      <c r="B177">
        <v>89</v>
      </c>
      <c r="C177" s="1">
        <v>211627.48</v>
      </c>
      <c r="D177">
        <v>176</v>
      </c>
    </row>
    <row r="178" spans="1:4" x14ac:dyDescent="0.35">
      <c r="A178">
        <v>10719</v>
      </c>
      <c r="B178">
        <v>80</v>
      </c>
      <c r="C178" s="1">
        <v>210509.93</v>
      </c>
      <c r="D178">
        <v>177</v>
      </c>
    </row>
    <row r="179" spans="1:4" x14ac:dyDescent="0.35">
      <c r="A179">
        <v>10602</v>
      </c>
      <c r="B179">
        <v>82</v>
      </c>
      <c r="C179" s="1">
        <v>209693.87</v>
      </c>
      <c r="D179">
        <v>178</v>
      </c>
    </row>
    <row r="180" spans="1:4" x14ac:dyDescent="0.35">
      <c r="A180">
        <v>10141</v>
      </c>
      <c r="B180">
        <v>82</v>
      </c>
      <c r="C180" s="1">
        <v>209489.82</v>
      </c>
      <c r="D180">
        <v>179</v>
      </c>
    </row>
    <row r="181" spans="1:4" x14ac:dyDescent="0.35">
      <c r="A181">
        <v>11068</v>
      </c>
      <c r="B181">
        <v>81</v>
      </c>
      <c r="C181" s="1">
        <v>209141.58</v>
      </c>
      <c r="D181">
        <v>180</v>
      </c>
    </row>
    <row r="182" spans="1:4" x14ac:dyDescent="0.35">
      <c r="A182">
        <v>10006</v>
      </c>
      <c r="B182">
        <v>76</v>
      </c>
      <c r="C182" s="1">
        <v>208451.1</v>
      </c>
      <c r="D182">
        <v>181</v>
      </c>
    </row>
    <row r="183" spans="1:4" x14ac:dyDescent="0.35">
      <c r="A183">
        <v>10840</v>
      </c>
      <c r="B183">
        <v>76</v>
      </c>
      <c r="C183" s="1">
        <v>207201.43</v>
      </c>
      <c r="D183">
        <v>182</v>
      </c>
    </row>
    <row r="184" spans="1:4" x14ac:dyDescent="0.35">
      <c r="A184">
        <v>10634</v>
      </c>
      <c r="B184">
        <v>87</v>
      </c>
      <c r="C184" s="1">
        <v>206969.05</v>
      </c>
      <c r="D184">
        <v>183</v>
      </c>
    </row>
    <row r="185" spans="1:4" x14ac:dyDescent="0.35">
      <c r="A185">
        <v>10112</v>
      </c>
      <c r="B185">
        <v>82</v>
      </c>
      <c r="C185" s="1">
        <v>205598.7</v>
      </c>
      <c r="D185">
        <v>184</v>
      </c>
    </row>
    <row r="186" spans="1:4" x14ac:dyDescent="0.35">
      <c r="A186">
        <v>10887</v>
      </c>
      <c r="B186">
        <v>84</v>
      </c>
      <c r="C186" s="1">
        <v>205463.15</v>
      </c>
      <c r="D186">
        <v>185</v>
      </c>
    </row>
    <row r="187" spans="1:4" x14ac:dyDescent="0.35">
      <c r="A187">
        <v>10529</v>
      </c>
      <c r="B187">
        <v>74</v>
      </c>
      <c r="C187" s="1">
        <v>205007.88</v>
      </c>
      <c r="D187">
        <v>186</v>
      </c>
    </row>
    <row r="188" spans="1:4" x14ac:dyDescent="0.35">
      <c r="A188">
        <v>10308</v>
      </c>
      <c r="B188">
        <v>85</v>
      </c>
      <c r="C188" s="1">
        <v>203921.47</v>
      </c>
      <c r="D188">
        <v>187</v>
      </c>
    </row>
    <row r="189" spans="1:4" x14ac:dyDescent="0.35">
      <c r="A189">
        <v>10939</v>
      </c>
      <c r="B189">
        <v>78</v>
      </c>
      <c r="C189" s="1">
        <v>203835.94</v>
      </c>
      <c r="D189">
        <v>188</v>
      </c>
    </row>
    <row r="190" spans="1:4" x14ac:dyDescent="0.35">
      <c r="A190">
        <v>10952</v>
      </c>
      <c r="B190">
        <v>78</v>
      </c>
      <c r="C190" s="1">
        <v>203705.01</v>
      </c>
      <c r="D190">
        <v>189</v>
      </c>
    </row>
    <row r="191" spans="1:4" x14ac:dyDescent="0.35">
      <c r="A191">
        <v>11039</v>
      </c>
      <c r="B191">
        <v>74</v>
      </c>
      <c r="C191" s="1">
        <v>202851.1</v>
      </c>
      <c r="D191">
        <v>190</v>
      </c>
    </row>
    <row r="192" spans="1:4" x14ac:dyDescent="0.35">
      <c r="A192">
        <v>10266</v>
      </c>
      <c r="B192">
        <v>75</v>
      </c>
      <c r="C192" s="1">
        <v>201520.24</v>
      </c>
      <c r="D192">
        <v>191</v>
      </c>
    </row>
    <row r="193" spans="1:4" x14ac:dyDescent="0.35">
      <c r="A193">
        <v>10730</v>
      </c>
      <c r="B193">
        <v>78</v>
      </c>
      <c r="C193" s="1">
        <v>201499.17</v>
      </c>
      <c r="D193">
        <v>192</v>
      </c>
    </row>
    <row r="194" spans="1:4" x14ac:dyDescent="0.35">
      <c r="A194">
        <v>10053</v>
      </c>
      <c r="B194">
        <v>77</v>
      </c>
      <c r="C194" s="1">
        <v>201344.72</v>
      </c>
      <c r="D194">
        <v>193</v>
      </c>
    </row>
    <row r="195" spans="1:4" x14ac:dyDescent="0.35">
      <c r="A195">
        <v>10500</v>
      </c>
      <c r="B195">
        <v>81</v>
      </c>
      <c r="C195" s="1">
        <v>200885.59</v>
      </c>
      <c r="D195">
        <v>194</v>
      </c>
    </row>
    <row r="196" spans="1:4" x14ac:dyDescent="0.35">
      <c r="A196">
        <v>10103</v>
      </c>
      <c r="B196">
        <v>76</v>
      </c>
      <c r="C196" s="1">
        <v>200305.97</v>
      </c>
      <c r="D196">
        <v>195</v>
      </c>
    </row>
    <row r="197" spans="1:4" x14ac:dyDescent="0.35">
      <c r="A197">
        <v>10299</v>
      </c>
      <c r="B197">
        <v>66</v>
      </c>
      <c r="C197" s="1">
        <v>198792.29</v>
      </c>
      <c r="D197">
        <v>196</v>
      </c>
    </row>
    <row r="198" spans="1:4" x14ac:dyDescent="0.35">
      <c r="A198">
        <v>10209</v>
      </c>
      <c r="B198">
        <v>90</v>
      </c>
      <c r="C198" s="1">
        <v>198060.1</v>
      </c>
      <c r="D198">
        <v>197</v>
      </c>
    </row>
    <row r="199" spans="1:4" x14ac:dyDescent="0.35">
      <c r="A199">
        <v>10274</v>
      </c>
      <c r="B199">
        <v>67</v>
      </c>
      <c r="C199" s="1">
        <v>197974.89</v>
      </c>
      <c r="D199">
        <v>198</v>
      </c>
    </row>
    <row r="200" spans="1:4" x14ac:dyDescent="0.35">
      <c r="A200">
        <v>10726</v>
      </c>
      <c r="B200">
        <v>81</v>
      </c>
      <c r="C200" s="1">
        <v>197542.71</v>
      </c>
      <c r="D200">
        <v>199</v>
      </c>
    </row>
    <row r="201" spans="1:4" x14ac:dyDescent="0.35">
      <c r="A201">
        <v>10091</v>
      </c>
      <c r="B201">
        <v>87</v>
      </c>
      <c r="C201" s="1">
        <v>197528.4</v>
      </c>
      <c r="D201">
        <v>200</v>
      </c>
    </row>
    <row r="202" spans="1:4" x14ac:dyDescent="0.35">
      <c r="A202">
        <v>10947</v>
      </c>
      <c r="B202">
        <v>80</v>
      </c>
      <c r="C202" s="1">
        <v>197071.25</v>
      </c>
      <c r="D202">
        <v>201</v>
      </c>
    </row>
    <row r="203" spans="1:4" x14ac:dyDescent="0.35">
      <c r="A203">
        <v>10399</v>
      </c>
      <c r="B203">
        <v>85</v>
      </c>
      <c r="C203" s="1">
        <v>196633.82</v>
      </c>
      <c r="D203">
        <v>202</v>
      </c>
    </row>
    <row r="204" spans="1:4" x14ac:dyDescent="0.35">
      <c r="A204">
        <v>10873</v>
      </c>
      <c r="B204">
        <v>78</v>
      </c>
      <c r="C204" s="1">
        <v>196542.22</v>
      </c>
      <c r="D204">
        <v>203</v>
      </c>
    </row>
    <row r="205" spans="1:4" x14ac:dyDescent="0.35">
      <c r="A205">
        <v>10556</v>
      </c>
      <c r="B205">
        <v>77</v>
      </c>
      <c r="C205" s="1">
        <v>195399.4</v>
      </c>
      <c r="D205">
        <v>204</v>
      </c>
    </row>
    <row r="206" spans="1:4" x14ac:dyDescent="0.35">
      <c r="A206">
        <v>10848</v>
      </c>
      <c r="B206">
        <v>89</v>
      </c>
      <c r="C206" s="1">
        <v>194735.45</v>
      </c>
      <c r="D206">
        <v>205</v>
      </c>
    </row>
    <row r="207" spans="1:4" x14ac:dyDescent="0.35">
      <c r="A207">
        <v>10920</v>
      </c>
      <c r="B207">
        <v>76</v>
      </c>
      <c r="C207" s="1">
        <v>194058.06</v>
      </c>
      <c r="D207">
        <v>206</v>
      </c>
    </row>
    <row r="208" spans="1:4" x14ac:dyDescent="0.35">
      <c r="A208">
        <v>10066</v>
      </c>
      <c r="B208">
        <v>82</v>
      </c>
      <c r="C208" s="1">
        <v>193933.62</v>
      </c>
      <c r="D208">
        <v>207</v>
      </c>
    </row>
    <row r="209" spans="1:4" x14ac:dyDescent="0.35">
      <c r="A209">
        <v>10397</v>
      </c>
      <c r="B209">
        <v>78</v>
      </c>
      <c r="C209" s="1">
        <v>192632.27</v>
      </c>
      <c r="D209">
        <v>208</v>
      </c>
    </row>
    <row r="210" spans="1:4" x14ac:dyDescent="0.35">
      <c r="A210">
        <v>10306</v>
      </c>
      <c r="B210">
        <v>75</v>
      </c>
      <c r="C210" s="1">
        <v>192550.81</v>
      </c>
      <c r="D210">
        <v>209</v>
      </c>
    </row>
    <row r="211" spans="1:4" x14ac:dyDescent="0.35">
      <c r="A211">
        <v>11032</v>
      </c>
      <c r="B211">
        <v>78</v>
      </c>
      <c r="C211" s="1">
        <v>192239.08</v>
      </c>
      <c r="D211">
        <v>210</v>
      </c>
    </row>
    <row r="212" spans="1:4" x14ac:dyDescent="0.35">
      <c r="A212">
        <v>10009</v>
      </c>
      <c r="B212">
        <v>76</v>
      </c>
      <c r="C212" s="1">
        <v>191741.19</v>
      </c>
      <c r="D212">
        <v>211</v>
      </c>
    </row>
    <row r="213" spans="1:4" x14ac:dyDescent="0.35">
      <c r="A213">
        <v>10161</v>
      </c>
      <c r="B213">
        <v>69</v>
      </c>
      <c r="C213" s="1">
        <v>191284.56</v>
      </c>
      <c r="D213">
        <v>212</v>
      </c>
    </row>
    <row r="214" spans="1:4" x14ac:dyDescent="0.35">
      <c r="A214">
        <v>10128</v>
      </c>
      <c r="B214">
        <v>76</v>
      </c>
      <c r="C214" s="1">
        <v>190960.73</v>
      </c>
      <c r="D214">
        <v>213</v>
      </c>
    </row>
    <row r="215" spans="1:4" x14ac:dyDescent="0.35">
      <c r="A215">
        <v>10528</v>
      </c>
      <c r="B215">
        <v>70</v>
      </c>
      <c r="C215" s="1">
        <v>190134.21</v>
      </c>
      <c r="D215">
        <v>214</v>
      </c>
    </row>
    <row r="216" spans="1:4" x14ac:dyDescent="0.35">
      <c r="A216">
        <v>10387</v>
      </c>
      <c r="B216">
        <v>70</v>
      </c>
      <c r="C216" s="1">
        <v>189725.82</v>
      </c>
      <c r="D216">
        <v>215</v>
      </c>
    </row>
    <row r="217" spans="1:4" x14ac:dyDescent="0.35">
      <c r="A217">
        <v>11014</v>
      </c>
      <c r="B217">
        <v>75</v>
      </c>
      <c r="C217" s="1">
        <v>189374.17</v>
      </c>
      <c r="D217">
        <v>216</v>
      </c>
    </row>
    <row r="218" spans="1:4" x14ac:dyDescent="0.35">
      <c r="A218">
        <v>10326</v>
      </c>
      <c r="B218">
        <v>83</v>
      </c>
      <c r="C218" s="1">
        <v>189009.45</v>
      </c>
      <c r="D218">
        <v>217</v>
      </c>
    </row>
    <row r="219" spans="1:4" x14ac:dyDescent="0.35">
      <c r="A219">
        <v>10582</v>
      </c>
      <c r="B219">
        <v>80</v>
      </c>
      <c r="C219" s="1">
        <v>188435.26</v>
      </c>
      <c r="D219">
        <v>218</v>
      </c>
    </row>
    <row r="220" spans="1:4" x14ac:dyDescent="0.35">
      <c r="A220">
        <v>10296</v>
      </c>
      <c r="B220">
        <v>80</v>
      </c>
      <c r="C220" s="1">
        <v>188408.97</v>
      </c>
      <c r="D220">
        <v>219</v>
      </c>
    </row>
    <row r="221" spans="1:4" x14ac:dyDescent="0.35">
      <c r="A221">
        <v>10396</v>
      </c>
      <c r="B221">
        <v>72</v>
      </c>
      <c r="C221" s="1">
        <v>188089.45</v>
      </c>
      <c r="D221">
        <v>220</v>
      </c>
    </row>
    <row r="222" spans="1:4" x14ac:dyDescent="0.35">
      <c r="A222">
        <v>10850</v>
      </c>
      <c r="B222">
        <v>70</v>
      </c>
      <c r="C222" s="1">
        <v>187271.33</v>
      </c>
      <c r="D222">
        <v>221</v>
      </c>
    </row>
    <row r="223" spans="1:4" x14ac:dyDescent="0.35">
      <c r="A223">
        <v>10859</v>
      </c>
      <c r="B223">
        <v>76</v>
      </c>
      <c r="C223" s="1">
        <v>186559.24</v>
      </c>
      <c r="D223">
        <v>222</v>
      </c>
    </row>
    <row r="224" spans="1:4" x14ac:dyDescent="0.35">
      <c r="A224">
        <v>10345</v>
      </c>
      <c r="B224">
        <v>74</v>
      </c>
      <c r="C224" s="1">
        <v>185704.62</v>
      </c>
      <c r="D224">
        <v>223</v>
      </c>
    </row>
    <row r="225" spans="1:4" x14ac:dyDescent="0.35">
      <c r="A225">
        <v>10642</v>
      </c>
      <c r="B225">
        <v>72</v>
      </c>
      <c r="C225" s="1">
        <v>185090.85</v>
      </c>
      <c r="D225">
        <v>224</v>
      </c>
    </row>
    <row r="226" spans="1:4" x14ac:dyDescent="0.35">
      <c r="A226">
        <v>10758</v>
      </c>
      <c r="B226">
        <v>71</v>
      </c>
      <c r="C226" s="1">
        <v>185000.98</v>
      </c>
      <c r="D226">
        <v>225</v>
      </c>
    </row>
    <row r="227" spans="1:4" x14ac:dyDescent="0.35">
      <c r="A227">
        <v>10958</v>
      </c>
      <c r="B227">
        <v>78</v>
      </c>
      <c r="C227" s="1">
        <v>184141.76</v>
      </c>
      <c r="D227">
        <v>226</v>
      </c>
    </row>
    <row r="228" spans="1:4" x14ac:dyDescent="0.35">
      <c r="A228">
        <v>10671</v>
      </c>
      <c r="B228">
        <v>70</v>
      </c>
      <c r="C228" s="1">
        <v>184017.63</v>
      </c>
      <c r="D228">
        <v>227</v>
      </c>
    </row>
    <row r="229" spans="1:4" x14ac:dyDescent="0.35">
      <c r="A229">
        <v>10716</v>
      </c>
      <c r="B229">
        <v>73</v>
      </c>
      <c r="C229" s="1">
        <v>183697.75</v>
      </c>
      <c r="D229">
        <v>228</v>
      </c>
    </row>
    <row r="230" spans="1:4" x14ac:dyDescent="0.35">
      <c r="A230">
        <v>10865</v>
      </c>
      <c r="B230">
        <v>69</v>
      </c>
      <c r="C230" s="1">
        <v>183033.78</v>
      </c>
      <c r="D230">
        <v>229</v>
      </c>
    </row>
    <row r="231" spans="1:4" x14ac:dyDescent="0.35">
      <c r="A231">
        <v>10976</v>
      </c>
      <c r="B231">
        <v>73</v>
      </c>
      <c r="C231" s="1">
        <v>178226.41</v>
      </c>
      <c r="D231">
        <v>230</v>
      </c>
    </row>
    <row r="232" spans="1:4" x14ac:dyDescent="0.35">
      <c r="A232">
        <v>10891</v>
      </c>
      <c r="B232">
        <v>75</v>
      </c>
      <c r="C232" s="1">
        <v>177848.8</v>
      </c>
      <c r="D232">
        <v>231</v>
      </c>
    </row>
    <row r="233" spans="1:4" x14ac:dyDescent="0.35">
      <c r="A233">
        <v>10903</v>
      </c>
      <c r="B233">
        <v>68</v>
      </c>
      <c r="C233" s="1">
        <v>177675.44</v>
      </c>
      <c r="D233">
        <v>232</v>
      </c>
    </row>
    <row r="234" spans="1:4" x14ac:dyDescent="0.35">
      <c r="A234">
        <v>11064</v>
      </c>
      <c r="B234">
        <v>70</v>
      </c>
      <c r="C234" s="1">
        <v>177388.39</v>
      </c>
      <c r="D234">
        <v>233</v>
      </c>
    </row>
    <row r="235" spans="1:4" x14ac:dyDescent="0.35">
      <c r="A235">
        <v>10677</v>
      </c>
      <c r="B235">
        <v>64</v>
      </c>
      <c r="C235" s="1">
        <v>177321.75</v>
      </c>
      <c r="D235">
        <v>234</v>
      </c>
    </row>
    <row r="236" spans="1:4" x14ac:dyDescent="0.35">
      <c r="A236">
        <v>10692</v>
      </c>
      <c r="B236">
        <v>66</v>
      </c>
      <c r="C236" s="1">
        <v>174838.25</v>
      </c>
      <c r="D236">
        <v>235</v>
      </c>
    </row>
    <row r="237" spans="1:4" x14ac:dyDescent="0.35">
      <c r="A237">
        <v>10833</v>
      </c>
      <c r="B237">
        <v>66</v>
      </c>
      <c r="C237" s="1">
        <v>173602.81</v>
      </c>
      <c r="D237">
        <v>236</v>
      </c>
    </row>
    <row r="238" spans="1:4" x14ac:dyDescent="0.35">
      <c r="A238">
        <v>10567</v>
      </c>
      <c r="B238">
        <v>68</v>
      </c>
      <c r="C238" s="1">
        <v>173489.02</v>
      </c>
      <c r="D238">
        <v>237</v>
      </c>
    </row>
    <row r="239" spans="1:4" x14ac:dyDescent="0.35">
      <c r="A239">
        <v>10439</v>
      </c>
      <c r="B239">
        <v>68</v>
      </c>
      <c r="C239" s="1">
        <v>172989.8</v>
      </c>
      <c r="D239">
        <v>238</v>
      </c>
    </row>
    <row r="240" spans="1:4" x14ac:dyDescent="0.35">
      <c r="A240">
        <v>10443</v>
      </c>
      <c r="B240">
        <v>65</v>
      </c>
      <c r="C240" s="1">
        <v>172752.74</v>
      </c>
      <c r="D240">
        <v>239</v>
      </c>
    </row>
    <row r="241" spans="1:4" x14ac:dyDescent="0.35">
      <c r="A241">
        <v>10498</v>
      </c>
      <c r="B241">
        <v>65</v>
      </c>
      <c r="C241" s="1">
        <v>172108.55</v>
      </c>
      <c r="D241">
        <v>240</v>
      </c>
    </row>
    <row r="242" spans="1:4" x14ac:dyDescent="0.35">
      <c r="A242">
        <v>10900</v>
      </c>
      <c r="B242">
        <v>67</v>
      </c>
      <c r="C242" s="1">
        <v>171940.45</v>
      </c>
      <c r="D242">
        <v>241</v>
      </c>
    </row>
    <row r="243" spans="1:4" x14ac:dyDescent="0.35">
      <c r="A243">
        <v>10126</v>
      </c>
      <c r="B243">
        <v>64</v>
      </c>
      <c r="C243" s="1">
        <v>171839.55</v>
      </c>
      <c r="D243">
        <v>242</v>
      </c>
    </row>
    <row r="244" spans="1:4" x14ac:dyDescent="0.35">
      <c r="A244">
        <v>10178</v>
      </c>
      <c r="B244">
        <v>59</v>
      </c>
      <c r="C244" s="1">
        <v>171459.16</v>
      </c>
      <c r="D244">
        <v>243</v>
      </c>
    </row>
    <row r="245" spans="1:4" x14ac:dyDescent="0.35">
      <c r="A245">
        <v>10113</v>
      </c>
      <c r="B245">
        <v>60</v>
      </c>
      <c r="C245" s="1">
        <v>171395.85</v>
      </c>
      <c r="D245">
        <v>244</v>
      </c>
    </row>
    <row r="246" spans="1:4" x14ac:dyDescent="0.35">
      <c r="A246">
        <v>10471</v>
      </c>
      <c r="B246">
        <v>70</v>
      </c>
      <c r="C246" s="1">
        <v>169261.89</v>
      </c>
      <c r="D246">
        <v>245</v>
      </c>
    </row>
    <row r="247" spans="1:4" x14ac:dyDescent="0.35">
      <c r="A247">
        <v>10231</v>
      </c>
      <c r="B247">
        <v>57</v>
      </c>
      <c r="C247" s="1">
        <v>169132.37</v>
      </c>
      <c r="D247">
        <v>246</v>
      </c>
    </row>
    <row r="248" spans="1:4" x14ac:dyDescent="0.35">
      <c r="A248">
        <v>10047</v>
      </c>
      <c r="B248">
        <v>62</v>
      </c>
      <c r="C248" s="1">
        <v>169087.96</v>
      </c>
      <c r="D248">
        <v>247</v>
      </c>
    </row>
    <row r="249" spans="1:4" x14ac:dyDescent="0.35">
      <c r="A249">
        <v>10393</v>
      </c>
      <c r="B249">
        <v>58</v>
      </c>
      <c r="C249" s="1">
        <v>168477.52</v>
      </c>
      <c r="D249">
        <v>248</v>
      </c>
    </row>
    <row r="250" spans="1:4" x14ac:dyDescent="0.35">
      <c r="A250">
        <v>10036</v>
      </c>
      <c r="B250">
        <v>70</v>
      </c>
      <c r="C250" s="1">
        <v>168209.34</v>
      </c>
      <c r="D250">
        <v>249</v>
      </c>
    </row>
    <row r="251" spans="1:4" x14ac:dyDescent="0.35">
      <c r="A251">
        <v>10060</v>
      </c>
      <c r="B251">
        <v>66</v>
      </c>
      <c r="C251" s="1">
        <v>168150.51</v>
      </c>
      <c r="D251">
        <v>250</v>
      </c>
    </row>
    <row r="252" spans="1:4" x14ac:dyDescent="0.35">
      <c r="A252">
        <v>10258</v>
      </c>
      <c r="B252">
        <v>69</v>
      </c>
      <c r="C252" s="1">
        <v>168060.66</v>
      </c>
      <c r="D252">
        <v>251</v>
      </c>
    </row>
    <row r="253" spans="1:4" x14ac:dyDescent="0.35">
      <c r="A253">
        <v>10414</v>
      </c>
      <c r="B253">
        <v>65</v>
      </c>
      <c r="C253" s="1">
        <v>167225.88</v>
      </c>
      <c r="D253">
        <v>252</v>
      </c>
    </row>
    <row r="254" spans="1:4" x14ac:dyDescent="0.35">
      <c r="A254">
        <v>10159</v>
      </c>
      <c r="B254">
        <v>75</v>
      </c>
      <c r="C254" s="1">
        <v>167222.67000000001</v>
      </c>
      <c r="D254">
        <v>253</v>
      </c>
    </row>
    <row r="255" spans="1:4" x14ac:dyDescent="0.35">
      <c r="A255">
        <v>10902</v>
      </c>
      <c r="B255">
        <v>73</v>
      </c>
      <c r="C255" s="1">
        <v>167201.04999999999</v>
      </c>
      <c r="D255">
        <v>254</v>
      </c>
    </row>
    <row r="256" spans="1:4" x14ac:dyDescent="0.35">
      <c r="A256">
        <v>10330</v>
      </c>
      <c r="B256">
        <v>63</v>
      </c>
      <c r="C256" s="1">
        <v>167101.18</v>
      </c>
      <c r="D256">
        <v>255</v>
      </c>
    </row>
    <row r="257" spans="1:4" x14ac:dyDescent="0.35">
      <c r="A257">
        <v>10020</v>
      </c>
      <c r="B257">
        <v>73</v>
      </c>
      <c r="C257" s="1">
        <v>166751.57999999999</v>
      </c>
      <c r="D257">
        <v>256</v>
      </c>
    </row>
    <row r="258" spans="1:4" x14ac:dyDescent="0.35">
      <c r="A258">
        <v>10751</v>
      </c>
      <c r="B258">
        <v>65</v>
      </c>
      <c r="C258" s="1">
        <v>165873.24</v>
      </c>
      <c r="D258">
        <v>257</v>
      </c>
    </row>
    <row r="259" spans="1:4" x14ac:dyDescent="0.35">
      <c r="A259">
        <v>10445</v>
      </c>
      <c r="B259">
        <v>68</v>
      </c>
      <c r="C259" s="1">
        <v>165595.26</v>
      </c>
      <c r="D259">
        <v>258</v>
      </c>
    </row>
    <row r="260" spans="1:4" x14ac:dyDescent="0.35">
      <c r="A260">
        <v>10550</v>
      </c>
      <c r="B260">
        <v>60</v>
      </c>
      <c r="C260" s="1">
        <v>165350.94</v>
      </c>
      <c r="D260">
        <v>259</v>
      </c>
    </row>
    <row r="261" spans="1:4" x14ac:dyDescent="0.35">
      <c r="A261">
        <v>10497</v>
      </c>
      <c r="B261">
        <v>63</v>
      </c>
      <c r="C261" s="1">
        <v>165096.95999999999</v>
      </c>
      <c r="D261">
        <v>260</v>
      </c>
    </row>
    <row r="262" spans="1:4" x14ac:dyDescent="0.35">
      <c r="A262">
        <v>10383</v>
      </c>
      <c r="B262">
        <v>67</v>
      </c>
      <c r="C262" s="1">
        <v>164701.46</v>
      </c>
      <c r="D262">
        <v>261</v>
      </c>
    </row>
    <row r="263" spans="1:4" x14ac:dyDescent="0.35">
      <c r="A263">
        <v>10188</v>
      </c>
      <c r="B263">
        <v>61</v>
      </c>
      <c r="C263" s="1">
        <v>164349.68</v>
      </c>
      <c r="D263">
        <v>262</v>
      </c>
    </row>
    <row r="264" spans="1:4" x14ac:dyDescent="0.35">
      <c r="A264">
        <v>10362</v>
      </c>
      <c r="B264">
        <v>66</v>
      </c>
      <c r="C264" s="1">
        <v>164022.53</v>
      </c>
      <c r="D264">
        <v>263</v>
      </c>
    </row>
    <row r="265" spans="1:4" x14ac:dyDescent="0.35">
      <c r="A265">
        <v>10030</v>
      </c>
      <c r="B265">
        <v>61</v>
      </c>
      <c r="C265" s="1">
        <v>163964.76999999999</v>
      </c>
      <c r="D265">
        <v>264</v>
      </c>
    </row>
    <row r="266" spans="1:4" x14ac:dyDescent="0.35">
      <c r="A266">
        <v>10795</v>
      </c>
      <c r="B266">
        <v>72</v>
      </c>
      <c r="C266" s="1">
        <v>163842.53</v>
      </c>
      <c r="D266">
        <v>265</v>
      </c>
    </row>
    <row r="267" spans="1:4" x14ac:dyDescent="0.35">
      <c r="A267">
        <v>10056</v>
      </c>
      <c r="B267">
        <v>66</v>
      </c>
      <c r="C267" s="1">
        <v>163556.15</v>
      </c>
      <c r="D267">
        <v>266</v>
      </c>
    </row>
    <row r="268" spans="1:4" x14ac:dyDescent="0.35">
      <c r="A268">
        <v>10674</v>
      </c>
      <c r="B268">
        <v>64</v>
      </c>
      <c r="C268" s="1">
        <v>163221.81</v>
      </c>
      <c r="D268">
        <v>267</v>
      </c>
    </row>
    <row r="269" spans="1:4" x14ac:dyDescent="0.35">
      <c r="A269">
        <v>10620</v>
      </c>
      <c r="B269">
        <v>68</v>
      </c>
      <c r="C269" s="1">
        <v>162631.09</v>
      </c>
      <c r="D269">
        <v>268</v>
      </c>
    </row>
    <row r="270" spans="1:4" x14ac:dyDescent="0.35">
      <c r="A270">
        <v>10361</v>
      </c>
      <c r="B270">
        <v>70</v>
      </c>
      <c r="C270" s="1">
        <v>162597.07</v>
      </c>
      <c r="D270">
        <v>269</v>
      </c>
    </row>
    <row r="271" spans="1:4" x14ac:dyDescent="0.35">
      <c r="A271">
        <v>10156</v>
      </c>
      <c r="B271">
        <v>72</v>
      </c>
      <c r="C271" s="1">
        <v>162484.85999999999</v>
      </c>
      <c r="D271">
        <v>270</v>
      </c>
    </row>
    <row r="272" spans="1:4" x14ac:dyDescent="0.35">
      <c r="A272">
        <v>10943</v>
      </c>
      <c r="B272">
        <v>68</v>
      </c>
      <c r="C272" s="1">
        <v>162209.71</v>
      </c>
      <c r="D272">
        <v>271</v>
      </c>
    </row>
    <row r="273" spans="1:4" x14ac:dyDescent="0.35">
      <c r="A273">
        <v>10691</v>
      </c>
      <c r="B273">
        <v>69</v>
      </c>
      <c r="C273" s="1">
        <v>161910.20000000001</v>
      </c>
      <c r="D273">
        <v>272</v>
      </c>
    </row>
    <row r="274" spans="1:4" x14ac:dyDescent="0.35">
      <c r="A274">
        <v>10204</v>
      </c>
      <c r="B274">
        <v>68</v>
      </c>
      <c r="C274" s="1">
        <v>161657.19</v>
      </c>
      <c r="D274">
        <v>273</v>
      </c>
    </row>
    <row r="275" spans="1:4" x14ac:dyDescent="0.35">
      <c r="A275">
        <v>10704</v>
      </c>
      <c r="B275">
        <v>66</v>
      </c>
      <c r="C275" s="1">
        <v>161351.44</v>
      </c>
      <c r="D275">
        <v>274</v>
      </c>
    </row>
    <row r="276" spans="1:4" x14ac:dyDescent="0.35">
      <c r="A276">
        <v>10896</v>
      </c>
      <c r="B276">
        <v>64</v>
      </c>
      <c r="C276" s="1">
        <v>161080.39000000001</v>
      </c>
      <c r="D276">
        <v>275</v>
      </c>
    </row>
    <row r="277" spans="1:4" x14ac:dyDescent="0.35">
      <c r="A277">
        <v>10728</v>
      </c>
      <c r="B277">
        <v>64</v>
      </c>
      <c r="C277" s="1">
        <v>161033.49</v>
      </c>
      <c r="D277">
        <v>276</v>
      </c>
    </row>
    <row r="278" spans="1:4" x14ac:dyDescent="0.35">
      <c r="A278">
        <v>10998</v>
      </c>
      <c r="B278">
        <v>58</v>
      </c>
      <c r="C278" s="1">
        <v>160929.97</v>
      </c>
      <c r="D278">
        <v>277</v>
      </c>
    </row>
    <row r="279" spans="1:4" x14ac:dyDescent="0.35">
      <c r="A279">
        <v>10379</v>
      </c>
      <c r="B279">
        <v>59</v>
      </c>
      <c r="C279" s="1">
        <v>160843.51</v>
      </c>
      <c r="D279">
        <v>278</v>
      </c>
    </row>
    <row r="280" spans="1:4" x14ac:dyDescent="0.35">
      <c r="A280">
        <v>10552</v>
      </c>
      <c r="B280">
        <v>65</v>
      </c>
      <c r="C280" s="1">
        <v>160728.06</v>
      </c>
      <c r="D280">
        <v>279</v>
      </c>
    </row>
    <row r="281" spans="1:4" x14ac:dyDescent="0.35">
      <c r="A281">
        <v>10210</v>
      </c>
      <c r="B281">
        <v>59</v>
      </c>
      <c r="C281" s="1">
        <v>160688.01</v>
      </c>
      <c r="D281">
        <v>280</v>
      </c>
    </row>
    <row r="282" spans="1:4" x14ac:dyDescent="0.35">
      <c r="A282">
        <v>10883</v>
      </c>
      <c r="B282">
        <v>68</v>
      </c>
      <c r="C282" s="1">
        <v>160432.91</v>
      </c>
      <c r="D282">
        <v>281</v>
      </c>
    </row>
    <row r="283" spans="1:4" x14ac:dyDescent="0.35">
      <c r="A283">
        <v>10953</v>
      </c>
      <c r="B283">
        <v>70</v>
      </c>
      <c r="C283" s="1">
        <v>160307.26</v>
      </c>
      <c r="D283">
        <v>282</v>
      </c>
    </row>
    <row r="284" spans="1:4" x14ac:dyDescent="0.35">
      <c r="A284">
        <v>10604</v>
      </c>
      <c r="B284">
        <v>57</v>
      </c>
      <c r="C284" s="1">
        <v>160160.95000000001</v>
      </c>
      <c r="D284">
        <v>283</v>
      </c>
    </row>
    <row r="285" spans="1:4" x14ac:dyDescent="0.35">
      <c r="A285">
        <v>10004</v>
      </c>
      <c r="B285">
        <v>58</v>
      </c>
      <c r="C285" s="1">
        <v>160128.79</v>
      </c>
      <c r="D285">
        <v>284</v>
      </c>
    </row>
    <row r="286" spans="1:4" x14ac:dyDescent="0.35">
      <c r="A286">
        <v>10845</v>
      </c>
      <c r="B286">
        <v>63</v>
      </c>
      <c r="C286" s="1">
        <v>159895.6</v>
      </c>
      <c r="D286">
        <v>285</v>
      </c>
    </row>
    <row r="287" spans="1:4" x14ac:dyDescent="0.35">
      <c r="A287">
        <v>10676</v>
      </c>
      <c r="B287">
        <v>56</v>
      </c>
      <c r="C287" s="1">
        <v>159645.54999999999</v>
      </c>
      <c r="D287">
        <v>286</v>
      </c>
    </row>
    <row r="288" spans="1:4" x14ac:dyDescent="0.35">
      <c r="A288">
        <v>10378</v>
      </c>
      <c r="B288">
        <v>61</v>
      </c>
      <c r="C288" s="1">
        <v>159624.54</v>
      </c>
      <c r="D288">
        <v>287</v>
      </c>
    </row>
    <row r="289" spans="1:4" x14ac:dyDescent="0.35">
      <c r="A289">
        <v>10948</v>
      </c>
      <c r="B289">
        <v>64</v>
      </c>
      <c r="C289" s="1">
        <v>159525.35999999999</v>
      </c>
      <c r="D289">
        <v>288</v>
      </c>
    </row>
    <row r="290" spans="1:4" x14ac:dyDescent="0.35">
      <c r="A290">
        <v>10062</v>
      </c>
      <c r="B290">
        <v>65</v>
      </c>
      <c r="C290" s="1">
        <v>158962.95000000001</v>
      </c>
      <c r="D290">
        <v>289</v>
      </c>
    </row>
    <row r="291" spans="1:4" x14ac:dyDescent="0.35">
      <c r="A291">
        <v>11095</v>
      </c>
      <c r="B291">
        <v>58</v>
      </c>
      <c r="C291" s="1">
        <v>158858.59</v>
      </c>
      <c r="D291">
        <v>290</v>
      </c>
    </row>
    <row r="292" spans="1:4" x14ac:dyDescent="0.35">
      <c r="A292">
        <v>10538</v>
      </c>
      <c r="B292">
        <v>65</v>
      </c>
      <c r="C292" s="1">
        <v>158099.51999999999</v>
      </c>
      <c r="D292">
        <v>291</v>
      </c>
    </row>
    <row r="293" spans="1:4" x14ac:dyDescent="0.35">
      <c r="A293">
        <v>10753</v>
      </c>
      <c r="B293">
        <v>62</v>
      </c>
      <c r="C293" s="1">
        <v>157861.46</v>
      </c>
      <c r="D293">
        <v>292</v>
      </c>
    </row>
    <row r="294" spans="1:4" x14ac:dyDescent="0.35">
      <c r="A294">
        <v>10803</v>
      </c>
      <c r="B294">
        <v>61</v>
      </c>
      <c r="C294" s="1">
        <v>157744.71</v>
      </c>
      <c r="D294">
        <v>293</v>
      </c>
    </row>
    <row r="295" spans="1:4" x14ac:dyDescent="0.35">
      <c r="A295">
        <v>10448</v>
      </c>
      <c r="B295">
        <v>66</v>
      </c>
      <c r="C295" s="1">
        <v>157377.71</v>
      </c>
      <c r="D295">
        <v>294</v>
      </c>
    </row>
    <row r="296" spans="1:4" x14ac:dyDescent="0.35">
      <c r="A296">
        <v>10295</v>
      </c>
      <c r="B296">
        <v>67</v>
      </c>
      <c r="C296" s="1">
        <v>156809.51999999999</v>
      </c>
      <c r="D296">
        <v>295</v>
      </c>
    </row>
    <row r="297" spans="1:4" x14ac:dyDescent="0.35">
      <c r="A297">
        <v>10669</v>
      </c>
      <c r="B297">
        <v>70</v>
      </c>
      <c r="C297" s="1">
        <v>156562.17000000001</v>
      </c>
      <c r="D297">
        <v>296</v>
      </c>
    </row>
    <row r="298" spans="1:4" x14ac:dyDescent="0.35">
      <c r="A298">
        <v>10708</v>
      </c>
      <c r="B298">
        <v>62</v>
      </c>
      <c r="C298" s="1">
        <v>156131.1</v>
      </c>
      <c r="D298">
        <v>297</v>
      </c>
    </row>
    <row r="299" spans="1:4" x14ac:dyDescent="0.35">
      <c r="A299">
        <v>10241</v>
      </c>
      <c r="B299">
        <v>63</v>
      </c>
      <c r="C299" s="1">
        <v>156130.12</v>
      </c>
      <c r="D299">
        <v>298</v>
      </c>
    </row>
    <row r="300" spans="1:4" x14ac:dyDescent="0.35">
      <c r="A300">
        <v>11015</v>
      </c>
      <c r="B300">
        <v>64</v>
      </c>
      <c r="C300" s="1">
        <v>156109.45000000001</v>
      </c>
      <c r="D300">
        <v>299</v>
      </c>
    </row>
    <row r="301" spans="1:4" x14ac:dyDescent="0.35">
      <c r="A301">
        <v>10428</v>
      </c>
      <c r="B301">
        <v>59</v>
      </c>
      <c r="C301" s="1">
        <v>155729.85</v>
      </c>
      <c r="D301">
        <v>300</v>
      </c>
    </row>
    <row r="302" spans="1:4" x14ac:dyDescent="0.35">
      <c r="A302">
        <v>11018</v>
      </c>
      <c r="B302">
        <v>58</v>
      </c>
      <c r="C302" s="1">
        <v>155612.26</v>
      </c>
      <c r="D302">
        <v>301</v>
      </c>
    </row>
    <row r="303" spans="1:4" x14ac:dyDescent="0.35">
      <c r="A303">
        <v>10592</v>
      </c>
      <c r="B303">
        <v>62</v>
      </c>
      <c r="C303" s="1">
        <v>155532.31</v>
      </c>
      <c r="D303">
        <v>302</v>
      </c>
    </row>
    <row r="304" spans="1:4" x14ac:dyDescent="0.35">
      <c r="A304">
        <v>10147</v>
      </c>
      <c r="B304">
        <v>62</v>
      </c>
      <c r="C304" s="1">
        <v>155132.6</v>
      </c>
      <c r="D304">
        <v>303</v>
      </c>
    </row>
    <row r="305" spans="1:4" x14ac:dyDescent="0.35">
      <c r="A305">
        <v>10501</v>
      </c>
      <c r="B305">
        <v>61</v>
      </c>
      <c r="C305" s="1">
        <v>154958.26</v>
      </c>
      <c r="D305">
        <v>304</v>
      </c>
    </row>
    <row r="306" spans="1:4" x14ac:dyDescent="0.35">
      <c r="A306">
        <v>11049</v>
      </c>
      <c r="B306">
        <v>61</v>
      </c>
      <c r="C306" s="1">
        <v>154843.14000000001</v>
      </c>
      <c r="D306">
        <v>305</v>
      </c>
    </row>
    <row r="307" spans="1:4" x14ac:dyDescent="0.35">
      <c r="A307">
        <v>10617</v>
      </c>
      <c r="B307">
        <v>61</v>
      </c>
      <c r="C307" s="1">
        <v>154373.07</v>
      </c>
      <c r="D307">
        <v>306</v>
      </c>
    </row>
    <row r="308" spans="1:4" x14ac:dyDescent="0.35">
      <c r="A308">
        <v>10519</v>
      </c>
      <c r="B308">
        <v>68</v>
      </c>
      <c r="C308" s="1">
        <v>154263.35</v>
      </c>
      <c r="D308">
        <v>307</v>
      </c>
    </row>
    <row r="309" spans="1:4" x14ac:dyDescent="0.35">
      <c r="A309">
        <v>10109</v>
      </c>
      <c r="B309">
        <v>56</v>
      </c>
      <c r="C309" s="1">
        <v>154094.62</v>
      </c>
      <c r="D309">
        <v>308</v>
      </c>
    </row>
    <row r="310" spans="1:4" x14ac:dyDescent="0.35">
      <c r="A310">
        <v>10110</v>
      </c>
      <c r="B310">
        <v>63</v>
      </c>
      <c r="C310" s="1">
        <v>153807.19</v>
      </c>
      <c r="D310">
        <v>309</v>
      </c>
    </row>
    <row r="311" spans="1:4" x14ac:dyDescent="0.35">
      <c r="A311">
        <v>10409</v>
      </c>
      <c r="B311">
        <v>63</v>
      </c>
      <c r="C311" s="1">
        <v>153787.23000000001</v>
      </c>
      <c r="D311">
        <v>310</v>
      </c>
    </row>
    <row r="312" spans="1:4" x14ac:dyDescent="0.35">
      <c r="A312">
        <v>10937</v>
      </c>
      <c r="B312">
        <v>63</v>
      </c>
      <c r="C312" s="1">
        <v>153704.84</v>
      </c>
      <c r="D312">
        <v>311</v>
      </c>
    </row>
    <row r="313" spans="1:4" x14ac:dyDescent="0.35">
      <c r="A313">
        <v>10864</v>
      </c>
      <c r="B313">
        <v>60</v>
      </c>
      <c r="C313" s="1">
        <v>153598.91</v>
      </c>
      <c r="D313">
        <v>312</v>
      </c>
    </row>
    <row r="314" spans="1:4" x14ac:dyDescent="0.35">
      <c r="A314">
        <v>10834</v>
      </c>
      <c r="B314">
        <v>57</v>
      </c>
      <c r="C314" s="1">
        <v>153398.70000000001</v>
      </c>
      <c r="D314">
        <v>313</v>
      </c>
    </row>
    <row r="315" spans="1:4" x14ac:dyDescent="0.35">
      <c r="A315">
        <v>10491</v>
      </c>
      <c r="B315">
        <v>59</v>
      </c>
      <c r="C315" s="1">
        <v>153193.01</v>
      </c>
      <c r="D315">
        <v>314</v>
      </c>
    </row>
    <row r="316" spans="1:4" x14ac:dyDescent="0.35">
      <c r="A316">
        <v>10990</v>
      </c>
      <c r="B316">
        <v>68</v>
      </c>
      <c r="C316" s="1">
        <v>153064.35999999999</v>
      </c>
      <c r="D316">
        <v>315</v>
      </c>
    </row>
    <row r="317" spans="1:4" x14ac:dyDescent="0.35">
      <c r="A317">
        <v>11010</v>
      </c>
      <c r="B317">
        <v>63</v>
      </c>
      <c r="C317" s="1">
        <v>152767.32</v>
      </c>
      <c r="D317">
        <v>316</v>
      </c>
    </row>
    <row r="318" spans="1:4" x14ac:dyDescent="0.35">
      <c r="A318">
        <v>10187</v>
      </c>
      <c r="B318">
        <v>59</v>
      </c>
      <c r="C318" s="1">
        <v>152629.66</v>
      </c>
      <c r="D318">
        <v>317</v>
      </c>
    </row>
    <row r="319" spans="1:4" x14ac:dyDescent="0.35">
      <c r="A319">
        <v>10461</v>
      </c>
      <c r="B319">
        <v>63</v>
      </c>
      <c r="C319" s="1">
        <v>151800.46</v>
      </c>
      <c r="D319">
        <v>318</v>
      </c>
    </row>
    <row r="320" spans="1:4" x14ac:dyDescent="0.35">
      <c r="A320">
        <v>10092</v>
      </c>
      <c r="B320">
        <v>66</v>
      </c>
      <c r="C320" s="1">
        <v>151626.32999999999</v>
      </c>
      <c r="D320">
        <v>319</v>
      </c>
    </row>
    <row r="321" spans="1:4" x14ac:dyDescent="0.35">
      <c r="A321">
        <v>10599</v>
      </c>
      <c r="B321">
        <v>55</v>
      </c>
      <c r="C321" s="1">
        <v>151506.17000000001</v>
      </c>
      <c r="D321">
        <v>320</v>
      </c>
    </row>
    <row r="322" spans="1:4" x14ac:dyDescent="0.35">
      <c r="A322">
        <v>10484</v>
      </c>
      <c r="B322">
        <v>59</v>
      </c>
      <c r="C322" s="1">
        <v>151427</v>
      </c>
      <c r="D322">
        <v>321</v>
      </c>
    </row>
    <row r="323" spans="1:4" x14ac:dyDescent="0.35">
      <c r="A323">
        <v>10407</v>
      </c>
      <c r="B323">
        <v>64</v>
      </c>
      <c r="C323" s="1">
        <v>151229.63</v>
      </c>
      <c r="D323">
        <v>322</v>
      </c>
    </row>
    <row r="324" spans="1:4" x14ac:dyDescent="0.35">
      <c r="A324">
        <v>10616</v>
      </c>
      <c r="B324">
        <v>56</v>
      </c>
      <c r="C324" s="1">
        <v>150851.64000000001</v>
      </c>
      <c r="D324">
        <v>323</v>
      </c>
    </row>
    <row r="325" spans="1:4" x14ac:dyDescent="0.35">
      <c r="A325">
        <v>10935</v>
      </c>
      <c r="B325">
        <v>68</v>
      </c>
      <c r="C325" s="1">
        <v>150701.51</v>
      </c>
      <c r="D325">
        <v>324</v>
      </c>
    </row>
    <row r="326" spans="1:4" x14ac:dyDescent="0.35">
      <c r="A326">
        <v>10050</v>
      </c>
      <c r="B326">
        <v>58</v>
      </c>
      <c r="C326" s="1">
        <v>150436.71</v>
      </c>
      <c r="D326">
        <v>325</v>
      </c>
    </row>
    <row r="327" spans="1:4" x14ac:dyDescent="0.35">
      <c r="A327">
        <v>10851</v>
      </c>
      <c r="B327">
        <v>61</v>
      </c>
      <c r="C327" s="1">
        <v>150063.54</v>
      </c>
      <c r="D327">
        <v>326</v>
      </c>
    </row>
    <row r="328" spans="1:4" x14ac:dyDescent="0.35">
      <c r="A328">
        <v>10672</v>
      </c>
      <c r="B328">
        <v>59</v>
      </c>
      <c r="C328" s="1">
        <v>149978.46</v>
      </c>
      <c r="D328">
        <v>327</v>
      </c>
    </row>
    <row r="329" spans="1:4" x14ac:dyDescent="0.35">
      <c r="A329">
        <v>10912</v>
      </c>
      <c r="B329">
        <v>64</v>
      </c>
      <c r="C329" s="1">
        <v>149430.31</v>
      </c>
      <c r="D329">
        <v>328</v>
      </c>
    </row>
    <row r="330" spans="1:4" x14ac:dyDescent="0.35">
      <c r="A330">
        <v>10690</v>
      </c>
      <c r="B330">
        <v>58</v>
      </c>
      <c r="C330" s="1">
        <v>148924.89000000001</v>
      </c>
      <c r="D330">
        <v>329</v>
      </c>
    </row>
    <row r="331" spans="1:4" x14ac:dyDescent="0.35">
      <c r="A331">
        <v>10046</v>
      </c>
      <c r="B331">
        <v>61</v>
      </c>
      <c r="C331" s="1">
        <v>148696.97</v>
      </c>
      <c r="D331">
        <v>330</v>
      </c>
    </row>
    <row r="332" spans="1:4" x14ac:dyDescent="0.35">
      <c r="A332">
        <v>10284</v>
      </c>
      <c r="B332">
        <v>64</v>
      </c>
      <c r="C332" s="1">
        <v>148648</v>
      </c>
      <c r="D332">
        <v>331</v>
      </c>
    </row>
    <row r="333" spans="1:4" x14ac:dyDescent="0.35">
      <c r="A333">
        <v>10666</v>
      </c>
      <c r="B333">
        <v>64</v>
      </c>
      <c r="C333" s="1">
        <v>148597.1</v>
      </c>
      <c r="D333">
        <v>332</v>
      </c>
    </row>
    <row r="334" spans="1:4" x14ac:dyDescent="0.35">
      <c r="A334">
        <v>10067</v>
      </c>
      <c r="B334">
        <v>60</v>
      </c>
      <c r="C334" s="1">
        <v>148338.9</v>
      </c>
      <c r="D334">
        <v>333</v>
      </c>
    </row>
    <row r="335" spans="1:4" x14ac:dyDescent="0.35">
      <c r="A335">
        <v>10810</v>
      </c>
      <c r="B335">
        <v>59</v>
      </c>
      <c r="C335" s="1">
        <v>148195.79</v>
      </c>
      <c r="D335">
        <v>334</v>
      </c>
    </row>
    <row r="336" spans="1:4" x14ac:dyDescent="0.35">
      <c r="A336">
        <v>11082</v>
      </c>
      <c r="B336">
        <v>58</v>
      </c>
      <c r="C336" s="1">
        <v>147820.26</v>
      </c>
      <c r="D336">
        <v>335</v>
      </c>
    </row>
    <row r="337" spans="1:4" x14ac:dyDescent="0.35">
      <c r="A337">
        <v>10783</v>
      </c>
      <c r="B337">
        <v>64</v>
      </c>
      <c r="C337" s="1">
        <v>147500.70000000001</v>
      </c>
      <c r="D337">
        <v>336</v>
      </c>
    </row>
    <row r="338" spans="1:4" x14ac:dyDescent="0.35">
      <c r="A338">
        <v>10419</v>
      </c>
      <c r="B338">
        <v>63</v>
      </c>
      <c r="C338" s="1">
        <v>147190</v>
      </c>
      <c r="D338">
        <v>337</v>
      </c>
    </row>
    <row r="339" spans="1:4" x14ac:dyDescent="0.35">
      <c r="A339">
        <v>10562</v>
      </c>
      <c r="B339">
        <v>67</v>
      </c>
      <c r="C339" s="1">
        <v>147088.9</v>
      </c>
      <c r="D339">
        <v>338</v>
      </c>
    </row>
    <row r="340" spans="1:4" x14ac:dyDescent="0.35">
      <c r="A340">
        <v>10807</v>
      </c>
      <c r="B340">
        <v>60</v>
      </c>
      <c r="C340" s="1">
        <v>147082.70000000001</v>
      </c>
      <c r="D340">
        <v>339</v>
      </c>
    </row>
    <row r="341" spans="1:4" x14ac:dyDescent="0.35">
      <c r="A341">
        <v>10860</v>
      </c>
      <c r="B341">
        <v>55</v>
      </c>
      <c r="C341" s="1">
        <v>147024.06</v>
      </c>
      <c r="D341">
        <v>340</v>
      </c>
    </row>
    <row r="342" spans="1:4" x14ac:dyDescent="0.35">
      <c r="A342">
        <v>10315</v>
      </c>
      <c r="B342">
        <v>60</v>
      </c>
      <c r="C342" s="1">
        <v>146952.72</v>
      </c>
      <c r="D342">
        <v>341</v>
      </c>
    </row>
    <row r="343" spans="1:4" x14ac:dyDescent="0.35">
      <c r="A343">
        <v>10153</v>
      </c>
      <c r="B343">
        <v>59</v>
      </c>
      <c r="C343" s="1">
        <v>146915.76999999999</v>
      </c>
      <c r="D343">
        <v>342</v>
      </c>
    </row>
    <row r="344" spans="1:4" x14ac:dyDescent="0.35">
      <c r="A344">
        <v>10779</v>
      </c>
      <c r="B344">
        <v>58</v>
      </c>
      <c r="C344" s="1">
        <v>146837.70000000001</v>
      </c>
      <c r="D344">
        <v>343</v>
      </c>
    </row>
    <row r="345" spans="1:4" x14ac:dyDescent="0.35">
      <c r="A345">
        <v>10934</v>
      </c>
      <c r="B345">
        <v>56</v>
      </c>
      <c r="C345" s="1">
        <v>146774.84</v>
      </c>
      <c r="D345">
        <v>344</v>
      </c>
    </row>
    <row r="346" spans="1:4" x14ac:dyDescent="0.35">
      <c r="A346">
        <v>10820</v>
      </c>
      <c r="B346">
        <v>56</v>
      </c>
      <c r="C346" s="1">
        <v>146521.95000000001</v>
      </c>
      <c r="D346">
        <v>345</v>
      </c>
    </row>
    <row r="347" spans="1:4" x14ac:dyDescent="0.35">
      <c r="A347">
        <v>11013</v>
      </c>
      <c r="B347">
        <v>57</v>
      </c>
      <c r="C347" s="1">
        <v>146343.46</v>
      </c>
      <c r="D347">
        <v>346</v>
      </c>
    </row>
    <row r="348" spans="1:4" x14ac:dyDescent="0.35">
      <c r="A348">
        <v>10158</v>
      </c>
      <c r="B348">
        <v>54</v>
      </c>
      <c r="C348" s="1">
        <v>145959.32999999999</v>
      </c>
      <c r="D348">
        <v>347</v>
      </c>
    </row>
    <row r="349" spans="1:4" x14ac:dyDescent="0.35">
      <c r="A349">
        <v>10139</v>
      </c>
      <c r="B349">
        <v>56</v>
      </c>
      <c r="C349" s="1">
        <v>145631.01</v>
      </c>
      <c r="D349">
        <v>348</v>
      </c>
    </row>
    <row r="350" spans="1:4" x14ac:dyDescent="0.35">
      <c r="A350">
        <v>11043</v>
      </c>
      <c r="B350">
        <v>53</v>
      </c>
      <c r="C350" s="1">
        <v>145615.07999999999</v>
      </c>
      <c r="D350">
        <v>349</v>
      </c>
    </row>
    <row r="351" spans="1:4" x14ac:dyDescent="0.35">
      <c r="A351">
        <v>10931</v>
      </c>
      <c r="B351">
        <v>50</v>
      </c>
      <c r="C351" s="1">
        <v>145599.57</v>
      </c>
      <c r="D351">
        <v>350</v>
      </c>
    </row>
    <row r="352" spans="1:4" x14ac:dyDescent="0.35">
      <c r="A352">
        <v>10982</v>
      </c>
      <c r="B352">
        <v>60</v>
      </c>
      <c r="C352" s="1">
        <v>145556.70000000001</v>
      </c>
      <c r="D352">
        <v>351</v>
      </c>
    </row>
    <row r="353" spans="1:4" x14ac:dyDescent="0.35">
      <c r="A353">
        <v>10746</v>
      </c>
      <c r="B353">
        <v>55</v>
      </c>
      <c r="C353" s="1">
        <v>145553.29999999999</v>
      </c>
      <c r="D353">
        <v>352</v>
      </c>
    </row>
    <row r="354" spans="1:4" x14ac:dyDescent="0.35">
      <c r="A354">
        <v>10748</v>
      </c>
      <c r="B354">
        <v>59</v>
      </c>
      <c r="C354" s="1">
        <v>145446.88</v>
      </c>
      <c r="D354">
        <v>353</v>
      </c>
    </row>
    <row r="355" spans="1:4" x14ac:dyDescent="0.35">
      <c r="A355">
        <v>10718</v>
      </c>
      <c r="B355">
        <v>60</v>
      </c>
      <c r="C355" s="1">
        <v>145209.35</v>
      </c>
      <c r="D355">
        <v>354</v>
      </c>
    </row>
    <row r="356" spans="1:4" x14ac:dyDescent="0.35">
      <c r="A356">
        <v>10880</v>
      </c>
      <c r="B356">
        <v>64</v>
      </c>
      <c r="C356" s="1">
        <v>145146.45000000001</v>
      </c>
      <c r="D356">
        <v>355</v>
      </c>
    </row>
    <row r="357" spans="1:4" x14ac:dyDescent="0.35">
      <c r="A357">
        <v>10764</v>
      </c>
      <c r="B357">
        <v>60</v>
      </c>
      <c r="C357" s="1">
        <v>144813.32999999999</v>
      </c>
      <c r="D357">
        <v>356</v>
      </c>
    </row>
    <row r="358" spans="1:4" x14ac:dyDescent="0.35">
      <c r="A358">
        <v>10475</v>
      </c>
      <c r="B358">
        <v>56</v>
      </c>
      <c r="C358" s="1">
        <v>144779.23000000001</v>
      </c>
      <c r="D358">
        <v>357</v>
      </c>
    </row>
    <row r="359" spans="1:4" x14ac:dyDescent="0.35">
      <c r="A359">
        <v>10425</v>
      </c>
      <c r="B359">
        <v>54</v>
      </c>
      <c r="C359" s="1">
        <v>144641.21</v>
      </c>
      <c r="D359">
        <v>358</v>
      </c>
    </row>
    <row r="360" spans="1:4" x14ac:dyDescent="0.35">
      <c r="A360">
        <v>10275</v>
      </c>
      <c r="B360">
        <v>64</v>
      </c>
      <c r="C360" s="1">
        <v>144605.96</v>
      </c>
      <c r="D360">
        <v>359</v>
      </c>
    </row>
    <row r="361" spans="1:4" x14ac:dyDescent="0.35">
      <c r="A361">
        <v>10037</v>
      </c>
      <c r="B361">
        <v>63</v>
      </c>
      <c r="C361" s="1">
        <v>144523.07</v>
      </c>
      <c r="D361">
        <v>360</v>
      </c>
    </row>
    <row r="362" spans="1:4" x14ac:dyDescent="0.35">
      <c r="A362">
        <v>10631</v>
      </c>
      <c r="B362">
        <v>62</v>
      </c>
      <c r="C362" s="1">
        <v>144486.98000000001</v>
      </c>
      <c r="D362">
        <v>361</v>
      </c>
    </row>
    <row r="363" spans="1:4" x14ac:dyDescent="0.35">
      <c r="A363">
        <v>10288</v>
      </c>
      <c r="B363">
        <v>52</v>
      </c>
      <c r="C363" s="1">
        <v>144222.93</v>
      </c>
      <c r="D363">
        <v>362</v>
      </c>
    </row>
    <row r="364" spans="1:4" x14ac:dyDescent="0.35">
      <c r="A364">
        <v>10792</v>
      </c>
      <c r="B364">
        <v>61</v>
      </c>
      <c r="C364" s="1">
        <v>144080.78</v>
      </c>
      <c r="D364">
        <v>363</v>
      </c>
    </row>
    <row r="365" spans="1:4" x14ac:dyDescent="0.35">
      <c r="A365">
        <v>10940</v>
      </c>
      <c r="B365">
        <v>58</v>
      </c>
      <c r="C365" s="1">
        <v>143893.69</v>
      </c>
      <c r="D365">
        <v>364</v>
      </c>
    </row>
    <row r="366" spans="1:4" x14ac:dyDescent="0.35">
      <c r="A366">
        <v>10579</v>
      </c>
      <c r="B366">
        <v>61</v>
      </c>
      <c r="C366" s="1">
        <v>143726.87</v>
      </c>
      <c r="D366">
        <v>365</v>
      </c>
    </row>
    <row r="367" spans="1:4" x14ac:dyDescent="0.35">
      <c r="A367">
        <v>10256</v>
      </c>
      <c r="B367">
        <v>62</v>
      </c>
      <c r="C367" s="1">
        <v>143545.97</v>
      </c>
      <c r="D367">
        <v>366</v>
      </c>
    </row>
    <row r="368" spans="1:4" x14ac:dyDescent="0.35">
      <c r="A368">
        <v>10312</v>
      </c>
      <c r="B368">
        <v>61</v>
      </c>
      <c r="C368" s="1">
        <v>143228.28</v>
      </c>
      <c r="D368">
        <v>367</v>
      </c>
    </row>
    <row r="369" spans="1:4" x14ac:dyDescent="0.35">
      <c r="A369">
        <v>10971</v>
      </c>
      <c r="B369">
        <v>59</v>
      </c>
      <c r="C369" s="1">
        <v>143184.66</v>
      </c>
      <c r="D369">
        <v>368</v>
      </c>
    </row>
    <row r="370" spans="1:4" x14ac:dyDescent="0.35">
      <c r="A370">
        <v>11007</v>
      </c>
      <c r="B370">
        <v>58</v>
      </c>
      <c r="C370" s="1">
        <v>143168.63</v>
      </c>
      <c r="D370">
        <v>369</v>
      </c>
    </row>
    <row r="371" spans="1:4" x14ac:dyDescent="0.35">
      <c r="A371">
        <v>10978</v>
      </c>
      <c r="B371">
        <v>58</v>
      </c>
      <c r="C371" s="1">
        <v>143133.66</v>
      </c>
      <c r="D371">
        <v>370</v>
      </c>
    </row>
    <row r="372" spans="1:4" x14ac:dyDescent="0.35">
      <c r="A372">
        <v>10253</v>
      </c>
      <c r="B372">
        <v>61</v>
      </c>
      <c r="C372" s="1">
        <v>142939.71</v>
      </c>
      <c r="D372">
        <v>371</v>
      </c>
    </row>
    <row r="373" spans="1:4" x14ac:dyDescent="0.35">
      <c r="A373">
        <v>10027</v>
      </c>
      <c r="B373">
        <v>60</v>
      </c>
      <c r="C373" s="1">
        <v>142877.43</v>
      </c>
      <c r="D373">
        <v>372</v>
      </c>
    </row>
    <row r="374" spans="1:4" x14ac:dyDescent="0.35">
      <c r="A374">
        <v>10781</v>
      </c>
      <c r="B374">
        <v>56</v>
      </c>
      <c r="C374" s="1">
        <v>142836.26</v>
      </c>
      <c r="D374">
        <v>373</v>
      </c>
    </row>
    <row r="375" spans="1:4" x14ac:dyDescent="0.35">
      <c r="A375">
        <v>10914</v>
      </c>
      <c r="B375">
        <v>58</v>
      </c>
      <c r="C375" s="1">
        <v>142784.64000000001</v>
      </c>
      <c r="D375">
        <v>374</v>
      </c>
    </row>
    <row r="376" spans="1:4" x14ac:dyDescent="0.35">
      <c r="A376">
        <v>11041</v>
      </c>
      <c r="B376">
        <v>61</v>
      </c>
      <c r="C376" s="1">
        <v>141798.78</v>
      </c>
      <c r="D376">
        <v>375</v>
      </c>
    </row>
    <row r="377" spans="1:4" x14ac:dyDescent="0.35">
      <c r="A377">
        <v>10798</v>
      </c>
      <c r="B377">
        <v>48</v>
      </c>
      <c r="C377" s="1">
        <v>141687.37</v>
      </c>
      <c r="D377">
        <v>376</v>
      </c>
    </row>
    <row r="378" spans="1:4" x14ac:dyDescent="0.35">
      <c r="A378">
        <v>10359</v>
      </c>
      <c r="B378">
        <v>61</v>
      </c>
      <c r="C378" s="1">
        <v>141505.44</v>
      </c>
      <c r="D378">
        <v>377</v>
      </c>
    </row>
    <row r="379" spans="1:4" x14ac:dyDescent="0.35">
      <c r="A379">
        <v>10583</v>
      </c>
      <c r="B379">
        <v>56</v>
      </c>
      <c r="C379" s="1">
        <v>141345.26999999999</v>
      </c>
      <c r="D379">
        <v>378</v>
      </c>
    </row>
    <row r="380" spans="1:4" x14ac:dyDescent="0.35">
      <c r="A380">
        <v>10930</v>
      </c>
      <c r="B380">
        <v>67</v>
      </c>
      <c r="C380" s="1">
        <v>140789.07</v>
      </c>
      <c r="D380">
        <v>379</v>
      </c>
    </row>
    <row r="381" spans="1:4" x14ac:dyDescent="0.35">
      <c r="A381">
        <v>10122</v>
      </c>
      <c r="B381">
        <v>53</v>
      </c>
      <c r="C381" s="1">
        <v>140608.44</v>
      </c>
      <c r="D381">
        <v>380</v>
      </c>
    </row>
    <row r="382" spans="1:4" x14ac:dyDescent="0.35">
      <c r="A382">
        <v>11058</v>
      </c>
      <c r="B382">
        <v>55</v>
      </c>
      <c r="C382" s="1">
        <v>139766.71</v>
      </c>
      <c r="D382">
        <v>381</v>
      </c>
    </row>
    <row r="383" spans="1:4" x14ac:dyDescent="0.35">
      <c r="A383">
        <v>10477</v>
      </c>
      <c r="B383">
        <v>45</v>
      </c>
      <c r="C383" s="1">
        <v>139721.66</v>
      </c>
      <c r="D383">
        <v>382</v>
      </c>
    </row>
    <row r="384" spans="1:4" x14ac:dyDescent="0.35">
      <c r="A384">
        <v>10645</v>
      </c>
      <c r="B384">
        <v>58</v>
      </c>
      <c r="C384" s="1">
        <v>139590.98000000001</v>
      </c>
      <c r="D384">
        <v>383</v>
      </c>
    </row>
    <row r="385" spans="1:4" x14ac:dyDescent="0.35">
      <c r="A385">
        <v>10389</v>
      </c>
      <c r="B385">
        <v>51</v>
      </c>
      <c r="C385" s="1">
        <v>139474.34</v>
      </c>
      <c r="D385">
        <v>384</v>
      </c>
    </row>
    <row r="386" spans="1:4" x14ac:dyDescent="0.35">
      <c r="A386">
        <v>10780</v>
      </c>
      <c r="B386">
        <v>59</v>
      </c>
      <c r="C386" s="1">
        <v>139383.89000000001</v>
      </c>
      <c r="D386">
        <v>385</v>
      </c>
    </row>
    <row r="387" spans="1:4" x14ac:dyDescent="0.35">
      <c r="A387">
        <v>10334</v>
      </c>
      <c r="B387">
        <v>53</v>
      </c>
      <c r="C387" s="1">
        <v>139129.72</v>
      </c>
      <c r="D387">
        <v>386</v>
      </c>
    </row>
    <row r="388" spans="1:4" x14ac:dyDescent="0.35">
      <c r="A388">
        <v>10974</v>
      </c>
      <c r="B388">
        <v>55</v>
      </c>
      <c r="C388" s="1">
        <v>138654.87</v>
      </c>
      <c r="D388">
        <v>387</v>
      </c>
    </row>
    <row r="389" spans="1:4" x14ac:dyDescent="0.35">
      <c r="A389">
        <v>10096</v>
      </c>
      <c r="B389">
        <v>62</v>
      </c>
      <c r="C389" s="1">
        <v>138562.42000000001</v>
      </c>
      <c r="D389">
        <v>388</v>
      </c>
    </row>
    <row r="390" spans="1:4" x14ac:dyDescent="0.35">
      <c r="A390">
        <v>10151</v>
      </c>
      <c r="B390">
        <v>59</v>
      </c>
      <c r="C390" s="1">
        <v>137480.69</v>
      </c>
      <c r="D390">
        <v>389</v>
      </c>
    </row>
    <row r="391" spans="1:4" x14ac:dyDescent="0.35">
      <c r="A391">
        <v>10412</v>
      </c>
      <c r="B391">
        <v>53</v>
      </c>
      <c r="C391" s="1">
        <v>137171.37</v>
      </c>
      <c r="D391">
        <v>390</v>
      </c>
    </row>
    <row r="392" spans="1:4" x14ac:dyDescent="0.35">
      <c r="A392">
        <v>10114</v>
      </c>
      <c r="B392">
        <v>59</v>
      </c>
      <c r="C392" s="1">
        <v>137060.64000000001</v>
      </c>
      <c r="D392">
        <v>391</v>
      </c>
    </row>
    <row r="393" spans="1:4" x14ac:dyDescent="0.35">
      <c r="A393">
        <v>10503</v>
      </c>
      <c r="B393">
        <v>57</v>
      </c>
      <c r="C393" s="1">
        <v>136952.22</v>
      </c>
      <c r="D393">
        <v>392</v>
      </c>
    </row>
    <row r="394" spans="1:4" x14ac:dyDescent="0.35">
      <c r="A394">
        <v>10612</v>
      </c>
      <c r="B394">
        <v>57</v>
      </c>
      <c r="C394" s="1">
        <v>136944.97</v>
      </c>
      <c r="D394">
        <v>393</v>
      </c>
    </row>
    <row r="395" spans="1:4" x14ac:dyDescent="0.35">
      <c r="A395">
        <v>10784</v>
      </c>
      <c r="B395">
        <v>54</v>
      </c>
      <c r="C395" s="1">
        <v>136694.53</v>
      </c>
      <c r="D395">
        <v>394</v>
      </c>
    </row>
    <row r="396" spans="1:4" x14ac:dyDescent="0.35">
      <c r="A396">
        <v>10352</v>
      </c>
      <c r="B396">
        <v>54</v>
      </c>
      <c r="C396" s="1">
        <v>136589.29999999999</v>
      </c>
      <c r="D396">
        <v>395</v>
      </c>
    </row>
    <row r="397" spans="1:4" x14ac:dyDescent="0.35">
      <c r="A397">
        <v>10225</v>
      </c>
      <c r="B397">
        <v>60</v>
      </c>
      <c r="C397" s="1">
        <v>136530.85999999999</v>
      </c>
      <c r="D397">
        <v>396</v>
      </c>
    </row>
    <row r="398" spans="1:4" x14ac:dyDescent="0.35">
      <c r="A398">
        <v>10245</v>
      </c>
      <c r="B398">
        <v>52</v>
      </c>
      <c r="C398" s="1">
        <v>136488.26999999999</v>
      </c>
      <c r="D398">
        <v>397</v>
      </c>
    </row>
    <row r="399" spans="1:4" x14ac:dyDescent="0.35">
      <c r="A399">
        <v>10285</v>
      </c>
      <c r="B399">
        <v>64</v>
      </c>
      <c r="C399" s="1">
        <v>136335.22</v>
      </c>
      <c r="D399">
        <v>398</v>
      </c>
    </row>
    <row r="400" spans="1:4" x14ac:dyDescent="0.35">
      <c r="A400">
        <v>10460</v>
      </c>
      <c r="B400">
        <v>51</v>
      </c>
      <c r="C400" s="1">
        <v>136152.60999999999</v>
      </c>
      <c r="D400">
        <v>399</v>
      </c>
    </row>
    <row r="401" spans="1:4" x14ac:dyDescent="0.35">
      <c r="A401">
        <v>10437</v>
      </c>
      <c r="B401">
        <v>56</v>
      </c>
      <c r="C401" s="1">
        <v>135907.70000000001</v>
      </c>
      <c r="D401">
        <v>400</v>
      </c>
    </row>
    <row r="402" spans="1:4" x14ac:dyDescent="0.35">
      <c r="A402">
        <v>10839</v>
      </c>
      <c r="B402">
        <v>57</v>
      </c>
      <c r="C402" s="1">
        <v>135649.45000000001</v>
      </c>
      <c r="D402">
        <v>401</v>
      </c>
    </row>
    <row r="403" spans="1:4" x14ac:dyDescent="0.35">
      <c r="A403">
        <v>10632</v>
      </c>
      <c r="B403">
        <v>51</v>
      </c>
      <c r="C403" s="1">
        <v>135586.01999999999</v>
      </c>
      <c r="D403">
        <v>402</v>
      </c>
    </row>
    <row r="404" spans="1:4" x14ac:dyDescent="0.35">
      <c r="A404">
        <v>10451</v>
      </c>
      <c r="B404">
        <v>63</v>
      </c>
      <c r="C404" s="1">
        <v>135560.07</v>
      </c>
      <c r="D404">
        <v>403</v>
      </c>
    </row>
    <row r="405" spans="1:4" x14ac:dyDescent="0.35">
      <c r="A405">
        <v>10700</v>
      </c>
      <c r="B405">
        <v>57</v>
      </c>
      <c r="C405" s="1">
        <v>135517.15</v>
      </c>
      <c r="D405">
        <v>404</v>
      </c>
    </row>
    <row r="406" spans="1:4" x14ac:dyDescent="0.35">
      <c r="A406">
        <v>10333</v>
      </c>
      <c r="B406">
        <v>56</v>
      </c>
      <c r="C406" s="1">
        <v>135327.92000000001</v>
      </c>
      <c r="D406">
        <v>405</v>
      </c>
    </row>
    <row r="407" spans="1:4" x14ac:dyDescent="0.35">
      <c r="A407">
        <v>10697</v>
      </c>
      <c r="B407">
        <v>56</v>
      </c>
      <c r="C407" s="1">
        <v>135255.69</v>
      </c>
      <c r="D407">
        <v>406</v>
      </c>
    </row>
    <row r="408" spans="1:4" x14ac:dyDescent="0.35">
      <c r="A408">
        <v>10605</v>
      </c>
      <c r="B408">
        <v>50</v>
      </c>
      <c r="C408" s="1">
        <v>135152.24</v>
      </c>
      <c r="D408">
        <v>407</v>
      </c>
    </row>
    <row r="409" spans="1:4" x14ac:dyDescent="0.35">
      <c r="A409">
        <v>10586</v>
      </c>
      <c r="B409">
        <v>60</v>
      </c>
      <c r="C409" s="1">
        <v>134990.44</v>
      </c>
      <c r="D409">
        <v>408</v>
      </c>
    </row>
    <row r="410" spans="1:4" x14ac:dyDescent="0.35">
      <c r="A410">
        <v>10991</v>
      </c>
      <c r="B410">
        <v>54</v>
      </c>
      <c r="C410" s="1">
        <v>134500.14000000001</v>
      </c>
      <c r="D410">
        <v>409</v>
      </c>
    </row>
    <row r="411" spans="1:4" x14ac:dyDescent="0.35">
      <c r="A411">
        <v>10398</v>
      </c>
      <c r="B411">
        <v>56</v>
      </c>
      <c r="C411" s="1">
        <v>134404.71</v>
      </c>
      <c r="D411">
        <v>410</v>
      </c>
    </row>
    <row r="412" spans="1:4" x14ac:dyDescent="0.35">
      <c r="A412">
        <v>10651</v>
      </c>
      <c r="B412">
        <v>56</v>
      </c>
      <c r="C412" s="1">
        <v>134169.78</v>
      </c>
      <c r="D412">
        <v>411</v>
      </c>
    </row>
    <row r="413" spans="1:4" x14ac:dyDescent="0.35">
      <c r="A413">
        <v>10150</v>
      </c>
      <c r="B413">
        <v>53</v>
      </c>
      <c r="C413" s="1">
        <v>133983.29999999999</v>
      </c>
      <c r="D413">
        <v>412</v>
      </c>
    </row>
    <row r="414" spans="1:4" x14ac:dyDescent="0.35">
      <c r="A414">
        <v>10171</v>
      </c>
      <c r="B414">
        <v>52</v>
      </c>
      <c r="C414" s="1">
        <v>133858.18</v>
      </c>
      <c r="D414">
        <v>413</v>
      </c>
    </row>
    <row r="415" spans="1:4" x14ac:dyDescent="0.35">
      <c r="A415">
        <v>10213</v>
      </c>
      <c r="B415">
        <v>52</v>
      </c>
      <c r="C415" s="1">
        <v>133852.19</v>
      </c>
      <c r="D415">
        <v>414</v>
      </c>
    </row>
    <row r="416" spans="1:4" x14ac:dyDescent="0.35">
      <c r="A416">
        <v>10267</v>
      </c>
      <c r="B416">
        <v>53</v>
      </c>
      <c r="C416" s="1">
        <v>133663.13</v>
      </c>
      <c r="D416">
        <v>415</v>
      </c>
    </row>
    <row r="417" spans="1:4" x14ac:dyDescent="0.35">
      <c r="A417">
        <v>10488</v>
      </c>
      <c r="B417">
        <v>48</v>
      </c>
      <c r="C417" s="1">
        <v>133125.04999999999</v>
      </c>
      <c r="D417">
        <v>416</v>
      </c>
    </row>
    <row r="418" spans="1:4" x14ac:dyDescent="0.35">
      <c r="A418">
        <v>10608</v>
      </c>
      <c r="B418">
        <v>52</v>
      </c>
      <c r="C418" s="1">
        <v>133046.71</v>
      </c>
      <c r="D418">
        <v>417</v>
      </c>
    </row>
    <row r="419" spans="1:4" x14ac:dyDescent="0.35">
      <c r="A419">
        <v>10219</v>
      </c>
      <c r="B419">
        <v>60</v>
      </c>
      <c r="C419" s="1">
        <v>132312.78</v>
      </c>
      <c r="D419">
        <v>418</v>
      </c>
    </row>
    <row r="420" spans="1:4" x14ac:dyDescent="0.35">
      <c r="A420">
        <v>10341</v>
      </c>
      <c r="B420">
        <v>55</v>
      </c>
      <c r="C420" s="1">
        <v>132207.37</v>
      </c>
      <c r="D420">
        <v>419</v>
      </c>
    </row>
    <row r="421" spans="1:4" x14ac:dyDescent="0.35">
      <c r="A421">
        <v>10246</v>
      </c>
      <c r="B421">
        <v>60</v>
      </c>
      <c r="C421" s="1">
        <v>131949.38</v>
      </c>
      <c r="D421">
        <v>420</v>
      </c>
    </row>
    <row r="422" spans="1:4" x14ac:dyDescent="0.35">
      <c r="A422">
        <v>10504</v>
      </c>
      <c r="B422">
        <v>63</v>
      </c>
      <c r="C422" s="1">
        <v>131692.51</v>
      </c>
      <c r="D422">
        <v>421</v>
      </c>
    </row>
    <row r="423" spans="1:4" x14ac:dyDescent="0.35">
      <c r="A423">
        <v>10189</v>
      </c>
      <c r="B423">
        <v>58</v>
      </c>
      <c r="C423" s="1">
        <v>131660.35999999999</v>
      </c>
      <c r="D423">
        <v>422</v>
      </c>
    </row>
    <row r="424" spans="1:4" x14ac:dyDescent="0.35">
      <c r="A424">
        <v>10263</v>
      </c>
      <c r="B424">
        <v>55</v>
      </c>
      <c r="C424" s="1">
        <v>131349.85999999999</v>
      </c>
      <c r="D424">
        <v>423</v>
      </c>
    </row>
    <row r="425" spans="1:4" x14ac:dyDescent="0.35">
      <c r="A425">
        <v>10216</v>
      </c>
      <c r="B425">
        <v>45</v>
      </c>
      <c r="C425" s="1">
        <v>130884.67</v>
      </c>
      <c r="D425">
        <v>424</v>
      </c>
    </row>
    <row r="426" spans="1:4" x14ac:dyDescent="0.35">
      <c r="A426">
        <v>10130</v>
      </c>
      <c r="B426">
        <v>52</v>
      </c>
      <c r="C426" s="1">
        <v>130797.07</v>
      </c>
      <c r="D426">
        <v>425</v>
      </c>
    </row>
    <row r="427" spans="1:4" x14ac:dyDescent="0.35">
      <c r="A427">
        <v>10218</v>
      </c>
      <c r="B427">
        <v>57</v>
      </c>
      <c r="C427" s="1">
        <v>130335.05</v>
      </c>
      <c r="D427">
        <v>426</v>
      </c>
    </row>
    <row r="428" spans="1:4" x14ac:dyDescent="0.35">
      <c r="A428">
        <v>10472</v>
      </c>
      <c r="B428">
        <v>53</v>
      </c>
      <c r="C428" s="1">
        <v>129820.22</v>
      </c>
      <c r="D428">
        <v>427</v>
      </c>
    </row>
    <row r="429" spans="1:4" x14ac:dyDescent="0.35">
      <c r="A429">
        <v>11017</v>
      </c>
      <c r="B429">
        <v>55</v>
      </c>
      <c r="C429" s="1">
        <v>129533.2</v>
      </c>
      <c r="D429">
        <v>428</v>
      </c>
    </row>
    <row r="430" spans="1:4" x14ac:dyDescent="0.35">
      <c r="A430">
        <v>10323</v>
      </c>
      <c r="B430">
        <v>52</v>
      </c>
      <c r="C430" s="1">
        <v>129491.78</v>
      </c>
      <c r="D430">
        <v>429</v>
      </c>
    </row>
    <row r="431" spans="1:4" x14ac:dyDescent="0.35">
      <c r="A431">
        <v>10417</v>
      </c>
      <c r="B431">
        <v>49</v>
      </c>
      <c r="C431" s="1">
        <v>129087.14</v>
      </c>
      <c r="D431">
        <v>430</v>
      </c>
    </row>
    <row r="432" spans="1:4" x14ac:dyDescent="0.35">
      <c r="A432">
        <v>10411</v>
      </c>
      <c r="B432">
        <v>54</v>
      </c>
      <c r="C432" s="1">
        <v>128914.43</v>
      </c>
      <c r="D432">
        <v>431</v>
      </c>
    </row>
    <row r="433" spans="1:4" x14ac:dyDescent="0.35">
      <c r="A433">
        <v>10457</v>
      </c>
      <c r="B433">
        <v>59</v>
      </c>
      <c r="C433" s="1">
        <v>128783.86</v>
      </c>
      <c r="D433">
        <v>432</v>
      </c>
    </row>
    <row r="434" spans="1:4" x14ac:dyDescent="0.35">
      <c r="A434">
        <v>10083</v>
      </c>
      <c r="B434">
        <v>51</v>
      </c>
      <c r="C434" s="1">
        <v>128439.76</v>
      </c>
      <c r="D434">
        <v>433</v>
      </c>
    </row>
    <row r="435" spans="1:4" x14ac:dyDescent="0.35">
      <c r="A435">
        <v>10318</v>
      </c>
      <c r="B435">
        <v>53</v>
      </c>
      <c r="C435" s="1">
        <v>128123.28</v>
      </c>
      <c r="D435">
        <v>434</v>
      </c>
    </row>
    <row r="436" spans="1:4" x14ac:dyDescent="0.35">
      <c r="A436">
        <v>10628</v>
      </c>
      <c r="B436">
        <v>56</v>
      </c>
      <c r="C436" s="1">
        <v>127951.44</v>
      </c>
      <c r="D436">
        <v>435</v>
      </c>
    </row>
    <row r="437" spans="1:4" x14ac:dyDescent="0.35">
      <c r="A437">
        <v>10578</v>
      </c>
      <c r="B437">
        <v>56</v>
      </c>
      <c r="C437" s="1">
        <v>127766.01</v>
      </c>
      <c r="D437">
        <v>436</v>
      </c>
    </row>
    <row r="438" spans="1:4" x14ac:dyDescent="0.35">
      <c r="A438">
        <v>10493</v>
      </c>
      <c r="B438">
        <v>50</v>
      </c>
      <c r="C438" s="1">
        <v>127610</v>
      </c>
      <c r="D438">
        <v>437</v>
      </c>
    </row>
    <row r="439" spans="1:4" x14ac:dyDescent="0.35">
      <c r="A439">
        <v>10693</v>
      </c>
      <c r="B439">
        <v>60</v>
      </c>
      <c r="C439" s="1">
        <v>127024.14</v>
      </c>
      <c r="D439">
        <v>438</v>
      </c>
    </row>
    <row r="440" spans="1:4" x14ac:dyDescent="0.35">
      <c r="A440">
        <v>11020</v>
      </c>
      <c r="B440">
        <v>52</v>
      </c>
      <c r="C440" s="1">
        <v>126724.17</v>
      </c>
      <c r="D440">
        <v>439</v>
      </c>
    </row>
    <row r="441" spans="1:4" x14ac:dyDescent="0.35">
      <c r="A441">
        <v>10743</v>
      </c>
      <c r="B441">
        <v>47</v>
      </c>
      <c r="C441" s="1">
        <v>126514.32</v>
      </c>
      <c r="D441">
        <v>440</v>
      </c>
    </row>
    <row r="442" spans="1:4" x14ac:dyDescent="0.35">
      <c r="A442">
        <v>10164</v>
      </c>
      <c r="B442">
        <v>50</v>
      </c>
      <c r="C442" s="1">
        <v>126509.25</v>
      </c>
      <c r="D442">
        <v>441</v>
      </c>
    </row>
    <row r="443" spans="1:4" x14ac:dyDescent="0.35">
      <c r="A443">
        <v>10148</v>
      </c>
      <c r="B443">
        <v>51</v>
      </c>
      <c r="C443" s="1">
        <v>126235.65</v>
      </c>
      <c r="D443">
        <v>442</v>
      </c>
    </row>
    <row r="444" spans="1:4" x14ac:dyDescent="0.35">
      <c r="A444">
        <v>10043</v>
      </c>
      <c r="B444">
        <v>57</v>
      </c>
      <c r="C444" s="1">
        <v>125651.09</v>
      </c>
      <c r="D444">
        <v>443</v>
      </c>
    </row>
    <row r="445" spans="1:4" x14ac:dyDescent="0.35">
      <c r="A445">
        <v>10321</v>
      </c>
      <c r="B445">
        <v>47</v>
      </c>
      <c r="C445" s="1">
        <v>125409.52</v>
      </c>
      <c r="D445">
        <v>444</v>
      </c>
    </row>
    <row r="446" spans="1:4" x14ac:dyDescent="0.35">
      <c r="A446">
        <v>10832</v>
      </c>
      <c r="B446">
        <v>47</v>
      </c>
      <c r="C446" s="1">
        <v>125162.78</v>
      </c>
      <c r="D446">
        <v>445</v>
      </c>
    </row>
    <row r="447" spans="1:4" x14ac:dyDescent="0.35">
      <c r="A447">
        <v>10923</v>
      </c>
      <c r="B447">
        <v>48</v>
      </c>
      <c r="C447" s="1">
        <v>125136.02</v>
      </c>
      <c r="D447">
        <v>446</v>
      </c>
    </row>
    <row r="448" spans="1:4" x14ac:dyDescent="0.35">
      <c r="A448">
        <v>10194</v>
      </c>
      <c r="B448">
        <v>54</v>
      </c>
      <c r="C448" s="1">
        <v>124909.96</v>
      </c>
      <c r="D448">
        <v>447</v>
      </c>
    </row>
    <row r="449" spans="1:4" x14ac:dyDescent="0.35">
      <c r="A449">
        <v>10659</v>
      </c>
      <c r="B449">
        <v>53</v>
      </c>
      <c r="C449" s="1">
        <v>124566.36</v>
      </c>
      <c r="D449">
        <v>448</v>
      </c>
    </row>
    <row r="450" spans="1:4" x14ac:dyDescent="0.35">
      <c r="A450">
        <v>11065</v>
      </c>
      <c r="B450">
        <v>51</v>
      </c>
      <c r="C450" s="1">
        <v>124296.72</v>
      </c>
      <c r="D450">
        <v>449</v>
      </c>
    </row>
    <row r="451" spans="1:4" x14ac:dyDescent="0.35">
      <c r="A451">
        <v>10223</v>
      </c>
      <c r="B451">
        <v>60</v>
      </c>
      <c r="C451" s="1">
        <v>123670.74</v>
      </c>
      <c r="D451">
        <v>450</v>
      </c>
    </row>
    <row r="452" spans="1:4" x14ac:dyDescent="0.35">
      <c r="A452">
        <v>10856</v>
      </c>
      <c r="B452">
        <v>47</v>
      </c>
      <c r="C452" s="1">
        <v>123503.15</v>
      </c>
      <c r="D452">
        <v>451</v>
      </c>
    </row>
    <row r="453" spans="1:4" x14ac:dyDescent="0.35">
      <c r="A453">
        <v>11029</v>
      </c>
      <c r="B453">
        <v>46</v>
      </c>
      <c r="C453" s="1">
        <v>122996.54</v>
      </c>
      <c r="D453">
        <v>452</v>
      </c>
    </row>
    <row r="454" spans="1:4" x14ac:dyDescent="0.35">
      <c r="A454">
        <v>11003</v>
      </c>
      <c r="B454">
        <v>54</v>
      </c>
      <c r="C454" s="1">
        <v>122987.23</v>
      </c>
      <c r="D454">
        <v>453</v>
      </c>
    </row>
    <row r="455" spans="1:4" x14ac:dyDescent="0.35">
      <c r="A455">
        <v>10951</v>
      </c>
      <c r="B455">
        <v>45</v>
      </c>
      <c r="C455" s="1">
        <v>122411.72</v>
      </c>
      <c r="D455">
        <v>454</v>
      </c>
    </row>
    <row r="456" spans="1:4" x14ac:dyDescent="0.35">
      <c r="A456">
        <v>10705</v>
      </c>
      <c r="B456">
        <v>44</v>
      </c>
      <c r="C456" s="1">
        <v>122278.36</v>
      </c>
      <c r="D456">
        <v>455</v>
      </c>
    </row>
    <row r="457" spans="1:4" x14ac:dyDescent="0.35">
      <c r="A457">
        <v>11036</v>
      </c>
      <c r="B457">
        <v>50</v>
      </c>
      <c r="C457" s="1">
        <v>122142</v>
      </c>
      <c r="D457">
        <v>456</v>
      </c>
    </row>
    <row r="458" spans="1:4" x14ac:dyDescent="0.35">
      <c r="A458">
        <v>10203</v>
      </c>
      <c r="B458">
        <v>56</v>
      </c>
      <c r="C458" s="1">
        <v>122030.89</v>
      </c>
      <c r="D458">
        <v>457</v>
      </c>
    </row>
    <row r="459" spans="1:4" x14ac:dyDescent="0.35">
      <c r="A459">
        <v>11044</v>
      </c>
      <c r="B459">
        <v>49</v>
      </c>
      <c r="C459" s="1">
        <v>121715.31</v>
      </c>
      <c r="D459">
        <v>458</v>
      </c>
    </row>
    <row r="460" spans="1:4" x14ac:dyDescent="0.35">
      <c r="A460">
        <v>10532</v>
      </c>
      <c r="B460">
        <v>52</v>
      </c>
      <c r="C460" s="1">
        <v>121437.3</v>
      </c>
      <c r="D460">
        <v>459</v>
      </c>
    </row>
    <row r="461" spans="1:4" x14ac:dyDescent="0.35">
      <c r="A461">
        <v>10099</v>
      </c>
      <c r="B461">
        <v>48</v>
      </c>
      <c r="C461" s="1">
        <v>121316.19</v>
      </c>
      <c r="D461">
        <v>460</v>
      </c>
    </row>
    <row r="462" spans="1:4" x14ac:dyDescent="0.35">
      <c r="A462">
        <v>10898</v>
      </c>
      <c r="B462">
        <v>56</v>
      </c>
      <c r="C462" s="1">
        <v>121249.26</v>
      </c>
      <c r="D462">
        <v>461</v>
      </c>
    </row>
    <row r="463" spans="1:4" x14ac:dyDescent="0.35">
      <c r="A463">
        <v>10681</v>
      </c>
      <c r="B463">
        <v>59</v>
      </c>
      <c r="C463" s="1">
        <v>121244.74</v>
      </c>
      <c r="D463">
        <v>462</v>
      </c>
    </row>
    <row r="464" spans="1:4" x14ac:dyDescent="0.35">
      <c r="A464">
        <v>10290</v>
      </c>
      <c r="B464">
        <v>44</v>
      </c>
      <c r="C464" s="1">
        <v>118751.5</v>
      </c>
      <c r="D464">
        <v>463</v>
      </c>
    </row>
    <row r="465" spans="1:4" x14ac:dyDescent="0.35">
      <c r="A465">
        <v>10936</v>
      </c>
      <c r="B465">
        <v>54</v>
      </c>
      <c r="C465" s="1">
        <v>118578.97</v>
      </c>
      <c r="D465">
        <v>464</v>
      </c>
    </row>
    <row r="466" spans="1:4" x14ac:dyDescent="0.35">
      <c r="A466">
        <v>10836</v>
      </c>
      <c r="B466">
        <v>46</v>
      </c>
      <c r="C466" s="1">
        <v>118234.43</v>
      </c>
      <c r="D466">
        <v>465</v>
      </c>
    </row>
    <row r="467" spans="1:4" x14ac:dyDescent="0.35">
      <c r="A467">
        <v>10989</v>
      </c>
      <c r="B467">
        <v>50</v>
      </c>
      <c r="C467" s="1">
        <v>116839.69</v>
      </c>
      <c r="D467">
        <v>466</v>
      </c>
    </row>
    <row r="468" spans="1:4" x14ac:dyDescent="0.35">
      <c r="A468">
        <v>10639</v>
      </c>
      <c r="B468">
        <v>39</v>
      </c>
      <c r="C468" s="1">
        <v>116767.07</v>
      </c>
      <c r="D468">
        <v>467</v>
      </c>
    </row>
    <row r="469" spans="1:4" x14ac:dyDescent="0.35">
      <c r="A469">
        <v>10636</v>
      </c>
      <c r="B469">
        <v>49</v>
      </c>
      <c r="C469" s="1">
        <v>116142.28</v>
      </c>
      <c r="D469">
        <v>468</v>
      </c>
    </row>
    <row r="470" spans="1:4" x14ac:dyDescent="0.35">
      <c r="A470">
        <v>10762</v>
      </c>
      <c r="B470">
        <v>43</v>
      </c>
      <c r="C470" s="1">
        <v>116109.31</v>
      </c>
      <c r="D470">
        <v>469</v>
      </c>
    </row>
    <row r="471" spans="1:4" x14ac:dyDescent="0.35">
      <c r="A471">
        <v>10767</v>
      </c>
      <c r="B471">
        <v>44</v>
      </c>
      <c r="C471" s="1">
        <v>115846.1</v>
      </c>
      <c r="D471">
        <v>470</v>
      </c>
    </row>
    <row r="472" spans="1:4" x14ac:dyDescent="0.35">
      <c r="A472">
        <v>10843</v>
      </c>
      <c r="B472">
        <v>49</v>
      </c>
      <c r="C472" s="1">
        <v>115131.34</v>
      </c>
      <c r="D472">
        <v>471</v>
      </c>
    </row>
    <row r="473" spans="1:4" x14ac:dyDescent="0.35">
      <c r="A473">
        <v>10426</v>
      </c>
      <c r="B473">
        <v>55</v>
      </c>
      <c r="C473" s="1">
        <v>113968.51</v>
      </c>
      <c r="D473">
        <v>472</v>
      </c>
    </row>
    <row r="474" spans="1:4" x14ac:dyDescent="0.35">
      <c r="A474">
        <v>10512</v>
      </c>
      <c r="B474">
        <v>48</v>
      </c>
      <c r="C474" s="1">
        <v>113930.6</v>
      </c>
      <c r="D474">
        <v>473</v>
      </c>
    </row>
    <row r="475" spans="1:4" x14ac:dyDescent="0.35">
      <c r="A475">
        <v>10039</v>
      </c>
      <c r="B475">
        <v>60</v>
      </c>
      <c r="C475" s="1">
        <v>113869.74</v>
      </c>
      <c r="D475">
        <v>474</v>
      </c>
    </row>
    <row r="476" spans="1:4" x14ac:dyDescent="0.35">
      <c r="A476">
        <v>10609</v>
      </c>
      <c r="B476">
        <v>54</v>
      </c>
      <c r="C476" s="1">
        <v>112693.52</v>
      </c>
      <c r="D476">
        <v>475</v>
      </c>
    </row>
    <row r="477" spans="1:4" x14ac:dyDescent="0.35">
      <c r="A477">
        <v>10680</v>
      </c>
      <c r="B477">
        <v>50</v>
      </c>
      <c r="C477" s="1">
        <v>112528.08</v>
      </c>
      <c r="D477">
        <v>476</v>
      </c>
    </row>
    <row r="478" spans="1:4" x14ac:dyDescent="0.35">
      <c r="A478">
        <v>10347</v>
      </c>
      <c r="B478">
        <v>46</v>
      </c>
      <c r="C478" s="1">
        <v>111777.46</v>
      </c>
      <c r="D478">
        <v>477</v>
      </c>
    </row>
    <row r="479" spans="1:4" x14ac:dyDescent="0.35">
      <c r="A479">
        <v>10558</v>
      </c>
      <c r="B479">
        <v>38</v>
      </c>
      <c r="C479" s="1">
        <v>110917.97</v>
      </c>
      <c r="D479">
        <v>478</v>
      </c>
    </row>
    <row r="480" spans="1:4" x14ac:dyDescent="0.35">
      <c r="A480">
        <v>10841</v>
      </c>
      <c r="B480">
        <v>36</v>
      </c>
      <c r="C480" s="1">
        <v>110274.93</v>
      </c>
      <c r="D480">
        <v>479</v>
      </c>
    </row>
    <row r="481" spans="1:4" x14ac:dyDescent="0.35">
      <c r="A481">
        <v>10611</v>
      </c>
      <c r="B481">
        <v>49</v>
      </c>
      <c r="C481" s="1">
        <v>109804.35</v>
      </c>
      <c r="D481">
        <v>480</v>
      </c>
    </row>
    <row r="482" spans="1:4" x14ac:dyDescent="0.35">
      <c r="A482">
        <v>10449</v>
      </c>
      <c r="B482">
        <v>49</v>
      </c>
      <c r="C482" s="1">
        <v>108740.03</v>
      </c>
      <c r="D482">
        <v>481</v>
      </c>
    </row>
    <row r="483" spans="1:4" x14ac:dyDescent="0.35">
      <c r="A483">
        <v>10367</v>
      </c>
      <c r="B483">
        <v>48</v>
      </c>
      <c r="C483" s="1">
        <v>108503.38</v>
      </c>
      <c r="D483">
        <v>482</v>
      </c>
    </row>
    <row r="484" spans="1:4" x14ac:dyDescent="0.35">
      <c r="A484">
        <v>10307</v>
      </c>
      <c r="B484">
        <v>45</v>
      </c>
      <c r="C484" s="1">
        <v>108148.92</v>
      </c>
      <c r="D484">
        <v>483</v>
      </c>
    </row>
    <row r="485" spans="1:4" x14ac:dyDescent="0.35">
      <c r="A485">
        <v>10454</v>
      </c>
      <c r="B485">
        <v>43</v>
      </c>
      <c r="C485" s="1">
        <v>107517.48</v>
      </c>
      <c r="D485">
        <v>484</v>
      </c>
    </row>
    <row r="486" spans="1:4" x14ac:dyDescent="0.35">
      <c r="A486">
        <v>10105</v>
      </c>
      <c r="B486">
        <v>36</v>
      </c>
      <c r="C486" s="1">
        <v>107307.33</v>
      </c>
      <c r="D486">
        <v>485</v>
      </c>
    </row>
    <row r="487" spans="1:4" x14ac:dyDescent="0.35">
      <c r="A487">
        <v>10492</v>
      </c>
      <c r="B487">
        <v>48</v>
      </c>
      <c r="C487" s="1">
        <v>107249.28</v>
      </c>
      <c r="D487">
        <v>486</v>
      </c>
    </row>
    <row r="488" spans="1:4" x14ac:dyDescent="0.35">
      <c r="A488">
        <v>10770</v>
      </c>
      <c r="B488">
        <v>50</v>
      </c>
      <c r="C488" s="1">
        <v>106903.24</v>
      </c>
      <c r="D488">
        <v>487</v>
      </c>
    </row>
    <row r="489" spans="1:4" x14ac:dyDescent="0.35">
      <c r="A489">
        <v>10808</v>
      </c>
      <c r="B489">
        <v>38</v>
      </c>
      <c r="C489" s="1">
        <v>106632.82</v>
      </c>
      <c r="D489">
        <v>488</v>
      </c>
    </row>
    <row r="490" spans="1:4" x14ac:dyDescent="0.35">
      <c r="A490">
        <v>10302</v>
      </c>
      <c r="B490">
        <v>45</v>
      </c>
      <c r="C490" s="1">
        <v>106434.09</v>
      </c>
      <c r="D490">
        <v>489</v>
      </c>
    </row>
    <row r="491" spans="1:4" x14ac:dyDescent="0.35">
      <c r="A491">
        <v>10585</v>
      </c>
      <c r="B491">
        <v>45</v>
      </c>
      <c r="C491" s="1">
        <v>106133.17</v>
      </c>
      <c r="D491">
        <v>490</v>
      </c>
    </row>
    <row r="492" spans="1:4" x14ac:dyDescent="0.35">
      <c r="A492">
        <v>10522</v>
      </c>
      <c r="B492">
        <v>48</v>
      </c>
      <c r="C492" s="1">
        <v>105969.97</v>
      </c>
      <c r="D492">
        <v>491</v>
      </c>
    </row>
    <row r="493" spans="1:4" x14ac:dyDescent="0.35">
      <c r="A493">
        <v>10316</v>
      </c>
      <c r="B493">
        <v>40</v>
      </c>
      <c r="C493" s="1">
        <v>104739.77</v>
      </c>
      <c r="D493">
        <v>492</v>
      </c>
    </row>
    <row r="494" spans="1:4" x14ac:dyDescent="0.35">
      <c r="A494">
        <v>10816</v>
      </c>
      <c r="B494">
        <v>35</v>
      </c>
      <c r="C494" s="1">
        <v>103589.41</v>
      </c>
      <c r="D494">
        <v>493</v>
      </c>
    </row>
    <row r="495" spans="1:4" x14ac:dyDescent="0.35">
      <c r="A495">
        <v>10336</v>
      </c>
      <c r="B495">
        <v>43</v>
      </c>
      <c r="C495" s="1">
        <v>102025.36</v>
      </c>
      <c r="D495">
        <v>494</v>
      </c>
    </row>
    <row r="496" spans="1:4" x14ac:dyDescent="0.35">
      <c r="A496">
        <v>10699</v>
      </c>
      <c r="B496">
        <v>39</v>
      </c>
      <c r="C496" s="1">
        <v>101978.86</v>
      </c>
      <c r="D496">
        <v>495</v>
      </c>
    </row>
    <row r="497" spans="1:4" x14ac:dyDescent="0.35">
      <c r="A497">
        <v>10950</v>
      </c>
      <c r="B497">
        <v>39</v>
      </c>
      <c r="C497" s="1">
        <v>101682.25</v>
      </c>
      <c r="D497">
        <v>496</v>
      </c>
    </row>
    <row r="498" spans="1:4" x14ac:dyDescent="0.35">
      <c r="A498">
        <v>10520</v>
      </c>
      <c r="B498">
        <v>34</v>
      </c>
      <c r="C498" s="1">
        <v>101379.84</v>
      </c>
      <c r="D498">
        <v>497</v>
      </c>
    </row>
    <row r="499" spans="1:4" x14ac:dyDescent="0.35">
      <c r="A499">
        <v>10470</v>
      </c>
      <c r="B499">
        <v>37</v>
      </c>
      <c r="C499" s="1">
        <v>100844.05</v>
      </c>
      <c r="D499">
        <v>498</v>
      </c>
    </row>
    <row r="500" spans="1:4" x14ac:dyDescent="0.35">
      <c r="A500">
        <v>10817</v>
      </c>
      <c r="B500">
        <v>43</v>
      </c>
      <c r="C500" s="1">
        <v>100683.75</v>
      </c>
      <c r="D500">
        <v>499</v>
      </c>
    </row>
    <row r="501" spans="1:4" x14ac:dyDescent="0.35">
      <c r="A501">
        <v>10270</v>
      </c>
      <c r="B501">
        <v>35</v>
      </c>
      <c r="C501" s="1">
        <v>100224.89</v>
      </c>
      <c r="D501">
        <v>500</v>
      </c>
    </row>
    <row r="502" spans="1:4" x14ac:dyDescent="0.35">
      <c r="A502">
        <v>10731</v>
      </c>
      <c r="B502">
        <v>32</v>
      </c>
      <c r="C502" s="1">
        <v>100198.25</v>
      </c>
      <c r="D502">
        <v>501</v>
      </c>
    </row>
    <row r="503" spans="1:4" x14ac:dyDescent="0.35">
      <c r="A503">
        <v>10011</v>
      </c>
      <c r="B503">
        <v>40</v>
      </c>
      <c r="C503" s="1">
        <v>100067.21</v>
      </c>
      <c r="D503">
        <v>502</v>
      </c>
    </row>
    <row r="504" spans="1:4" x14ac:dyDescent="0.35">
      <c r="A504">
        <v>11048</v>
      </c>
      <c r="B504">
        <v>38</v>
      </c>
      <c r="C504" s="1">
        <v>99299.97</v>
      </c>
      <c r="D504">
        <v>503</v>
      </c>
    </row>
    <row r="505" spans="1:4" x14ac:dyDescent="0.35">
      <c r="A505">
        <v>10785</v>
      </c>
      <c r="B505">
        <v>38</v>
      </c>
      <c r="C505" s="1">
        <v>99284.46</v>
      </c>
      <c r="D505">
        <v>504</v>
      </c>
    </row>
    <row r="506" spans="1:4" x14ac:dyDescent="0.35">
      <c r="A506">
        <v>10272</v>
      </c>
      <c r="B506">
        <v>44</v>
      </c>
      <c r="C506" s="1">
        <v>99053.92</v>
      </c>
      <c r="D506">
        <v>505</v>
      </c>
    </row>
    <row r="507" spans="1:4" x14ac:dyDescent="0.35">
      <c r="A507">
        <v>10429</v>
      </c>
      <c r="B507">
        <v>35</v>
      </c>
      <c r="C507" s="1">
        <v>98732.2</v>
      </c>
      <c r="D507">
        <v>506</v>
      </c>
    </row>
    <row r="508" spans="1:4" x14ac:dyDescent="0.35">
      <c r="A508">
        <v>10026</v>
      </c>
      <c r="B508">
        <v>34</v>
      </c>
      <c r="C508" s="1">
        <v>98713.46</v>
      </c>
      <c r="D508">
        <v>507</v>
      </c>
    </row>
    <row r="509" spans="1:4" x14ac:dyDescent="0.35">
      <c r="A509">
        <v>10988</v>
      </c>
      <c r="B509">
        <v>37</v>
      </c>
      <c r="C509" s="1">
        <v>98475.49</v>
      </c>
      <c r="D509">
        <v>508</v>
      </c>
    </row>
    <row r="510" spans="1:4" x14ac:dyDescent="0.35">
      <c r="A510">
        <v>10028</v>
      </c>
      <c r="B510">
        <v>33</v>
      </c>
      <c r="C510" s="1">
        <v>98457.59</v>
      </c>
      <c r="D510">
        <v>509</v>
      </c>
    </row>
    <row r="511" spans="1:4" x14ac:dyDescent="0.35">
      <c r="A511">
        <v>10675</v>
      </c>
      <c r="B511">
        <v>32</v>
      </c>
      <c r="C511" s="1">
        <v>98297.88</v>
      </c>
      <c r="D511">
        <v>510</v>
      </c>
    </row>
    <row r="512" spans="1:4" x14ac:dyDescent="0.35">
      <c r="A512">
        <v>10473</v>
      </c>
      <c r="B512">
        <v>32</v>
      </c>
      <c r="C512" s="1">
        <v>98249.77</v>
      </c>
      <c r="D512">
        <v>511</v>
      </c>
    </row>
    <row r="513" spans="1:4" x14ac:dyDescent="0.35">
      <c r="A513">
        <v>10278</v>
      </c>
      <c r="B513">
        <v>41</v>
      </c>
      <c r="C513" s="1">
        <v>98100.95</v>
      </c>
      <c r="D513">
        <v>512</v>
      </c>
    </row>
    <row r="514" spans="1:4" x14ac:dyDescent="0.35">
      <c r="A514">
        <v>10829</v>
      </c>
      <c r="B514">
        <v>37</v>
      </c>
      <c r="C514" s="1">
        <v>97129.82</v>
      </c>
      <c r="D514">
        <v>513</v>
      </c>
    </row>
    <row r="515" spans="1:4" x14ac:dyDescent="0.35">
      <c r="A515">
        <v>10777</v>
      </c>
      <c r="B515">
        <v>40</v>
      </c>
      <c r="C515" s="1">
        <v>97104.77</v>
      </c>
      <c r="D515">
        <v>514</v>
      </c>
    </row>
    <row r="516" spans="1:4" x14ac:dyDescent="0.35">
      <c r="A516">
        <v>10861</v>
      </c>
      <c r="B516">
        <v>33</v>
      </c>
      <c r="C516" s="1">
        <v>97004.95</v>
      </c>
      <c r="D516">
        <v>515</v>
      </c>
    </row>
    <row r="517" spans="1:4" x14ac:dyDescent="0.35">
      <c r="A517">
        <v>10723</v>
      </c>
      <c r="B517">
        <v>33</v>
      </c>
      <c r="C517" s="1">
        <v>96896.69</v>
      </c>
      <c r="D517">
        <v>516</v>
      </c>
    </row>
    <row r="518" spans="1:4" x14ac:dyDescent="0.35">
      <c r="A518">
        <v>10230</v>
      </c>
      <c r="B518">
        <v>37</v>
      </c>
      <c r="C518" s="1">
        <v>96846.2</v>
      </c>
      <c r="D518">
        <v>517</v>
      </c>
    </row>
    <row r="519" spans="1:4" x14ac:dyDescent="0.35">
      <c r="A519">
        <v>10754</v>
      </c>
      <c r="B519">
        <v>34</v>
      </c>
      <c r="C519" s="1">
        <v>96473.73</v>
      </c>
      <c r="D519">
        <v>518</v>
      </c>
    </row>
    <row r="520" spans="1:4" x14ac:dyDescent="0.35">
      <c r="A520">
        <v>10724</v>
      </c>
      <c r="B520">
        <v>32</v>
      </c>
      <c r="C520" s="1">
        <v>96269.64</v>
      </c>
      <c r="D520">
        <v>519</v>
      </c>
    </row>
    <row r="521" spans="1:4" x14ac:dyDescent="0.35">
      <c r="A521">
        <v>10702</v>
      </c>
      <c r="B521">
        <v>40</v>
      </c>
      <c r="C521" s="1">
        <v>96144.29</v>
      </c>
      <c r="D521">
        <v>520</v>
      </c>
    </row>
    <row r="522" spans="1:4" x14ac:dyDescent="0.35">
      <c r="A522">
        <v>11016</v>
      </c>
      <c r="B522">
        <v>36</v>
      </c>
      <c r="C522" s="1">
        <v>95719.01</v>
      </c>
      <c r="D522">
        <v>521</v>
      </c>
    </row>
    <row r="523" spans="1:4" x14ac:dyDescent="0.35">
      <c r="A523">
        <v>10265</v>
      </c>
      <c r="B523">
        <v>39</v>
      </c>
      <c r="C523" s="1">
        <v>95501.119999999995</v>
      </c>
      <c r="D523">
        <v>522</v>
      </c>
    </row>
    <row r="524" spans="1:4" x14ac:dyDescent="0.35">
      <c r="A524">
        <v>10322</v>
      </c>
      <c r="B524">
        <v>36</v>
      </c>
      <c r="C524" s="1">
        <v>94790.56</v>
      </c>
      <c r="D524">
        <v>523</v>
      </c>
    </row>
    <row r="525" spans="1:4" x14ac:dyDescent="0.35">
      <c r="A525">
        <v>10627</v>
      </c>
      <c r="B525">
        <v>39</v>
      </c>
      <c r="C525" s="1">
        <v>94736.46</v>
      </c>
      <c r="D525">
        <v>524</v>
      </c>
    </row>
    <row r="526" spans="1:4" x14ac:dyDescent="0.35">
      <c r="A526">
        <v>10938</v>
      </c>
      <c r="B526">
        <v>45</v>
      </c>
      <c r="C526" s="1">
        <v>94476.56</v>
      </c>
      <c r="D526">
        <v>525</v>
      </c>
    </row>
    <row r="527" spans="1:4" x14ac:dyDescent="0.35">
      <c r="A527">
        <v>10814</v>
      </c>
      <c r="B527">
        <v>32</v>
      </c>
      <c r="C527" s="1">
        <v>94351.12</v>
      </c>
      <c r="D527">
        <v>526</v>
      </c>
    </row>
    <row r="528" spans="1:4" x14ac:dyDescent="0.35">
      <c r="A528">
        <v>10086</v>
      </c>
      <c r="B528">
        <v>34</v>
      </c>
      <c r="C528" s="1">
        <v>94119.33</v>
      </c>
      <c r="D528">
        <v>527</v>
      </c>
    </row>
    <row r="529" spans="1:4" x14ac:dyDescent="0.35">
      <c r="A529">
        <v>10003</v>
      </c>
      <c r="B529">
        <v>32</v>
      </c>
      <c r="C529" s="1">
        <v>93491.58</v>
      </c>
      <c r="D529">
        <v>528</v>
      </c>
    </row>
    <row r="530" spans="1:4" x14ac:dyDescent="0.35">
      <c r="A530">
        <v>10549</v>
      </c>
      <c r="B530">
        <v>42</v>
      </c>
      <c r="C530" s="1">
        <v>93187.23</v>
      </c>
      <c r="D530">
        <v>529</v>
      </c>
    </row>
    <row r="531" spans="1:4" x14ac:dyDescent="0.35">
      <c r="A531">
        <v>10377</v>
      </c>
      <c r="B531">
        <v>35</v>
      </c>
      <c r="C531" s="1">
        <v>92772.52</v>
      </c>
      <c r="D531">
        <v>530</v>
      </c>
    </row>
    <row r="532" spans="1:4" x14ac:dyDescent="0.35">
      <c r="A532">
        <v>10919</v>
      </c>
      <c r="B532">
        <v>36</v>
      </c>
      <c r="C532" s="1">
        <v>92456.44</v>
      </c>
      <c r="D532">
        <v>531</v>
      </c>
    </row>
    <row r="533" spans="1:4" x14ac:dyDescent="0.35">
      <c r="A533">
        <v>10123</v>
      </c>
      <c r="B533">
        <v>34</v>
      </c>
      <c r="C533" s="1">
        <v>92026.16</v>
      </c>
      <c r="D533">
        <v>532</v>
      </c>
    </row>
    <row r="534" spans="1:4" x14ac:dyDescent="0.35">
      <c r="A534">
        <v>10650</v>
      </c>
      <c r="B534">
        <v>30</v>
      </c>
      <c r="C534" s="1">
        <v>91993.07</v>
      </c>
      <c r="D534">
        <v>533</v>
      </c>
    </row>
    <row r="535" spans="1:4" x14ac:dyDescent="0.35">
      <c r="A535">
        <v>10890</v>
      </c>
      <c r="B535">
        <v>34</v>
      </c>
      <c r="C535" s="1">
        <v>91950.37</v>
      </c>
      <c r="D535">
        <v>534</v>
      </c>
    </row>
    <row r="536" spans="1:4" x14ac:dyDescent="0.35">
      <c r="A536">
        <v>10530</v>
      </c>
      <c r="B536">
        <v>35</v>
      </c>
      <c r="C536" s="1">
        <v>91920.07</v>
      </c>
      <c r="D536">
        <v>535</v>
      </c>
    </row>
    <row r="537" spans="1:4" x14ac:dyDescent="0.35">
      <c r="A537">
        <v>11025</v>
      </c>
      <c r="B537">
        <v>34</v>
      </c>
      <c r="C537" s="1">
        <v>91655.57</v>
      </c>
      <c r="D537">
        <v>536</v>
      </c>
    </row>
    <row r="538" spans="1:4" x14ac:dyDescent="0.35">
      <c r="A538">
        <v>11055</v>
      </c>
      <c r="B538">
        <v>36</v>
      </c>
      <c r="C538" s="1">
        <v>91635.45</v>
      </c>
      <c r="D538">
        <v>537</v>
      </c>
    </row>
    <row r="539" spans="1:4" x14ac:dyDescent="0.35">
      <c r="A539">
        <v>10175</v>
      </c>
      <c r="B539">
        <v>33</v>
      </c>
      <c r="C539" s="1">
        <v>91168.03</v>
      </c>
      <c r="D539">
        <v>538</v>
      </c>
    </row>
    <row r="540" spans="1:4" x14ac:dyDescent="0.35">
      <c r="A540">
        <v>10981</v>
      </c>
      <c r="B540">
        <v>32</v>
      </c>
      <c r="C540" s="1">
        <v>91090.75</v>
      </c>
      <c r="D540">
        <v>539</v>
      </c>
    </row>
    <row r="541" spans="1:4" x14ac:dyDescent="0.35">
      <c r="A541">
        <v>10181</v>
      </c>
      <c r="B541">
        <v>36</v>
      </c>
      <c r="C541" s="1">
        <v>90763.08</v>
      </c>
      <c r="D541">
        <v>540</v>
      </c>
    </row>
    <row r="542" spans="1:4" x14ac:dyDescent="0.35">
      <c r="A542">
        <v>10721</v>
      </c>
      <c r="B542">
        <v>34</v>
      </c>
      <c r="C542" s="1">
        <v>90708.47</v>
      </c>
      <c r="D542">
        <v>541</v>
      </c>
    </row>
    <row r="543" spans="1:4" x14ac:dyDescent="0.35">
      <c r="A543">
        <v>10077</v>
      </c>
      <c r="B543">
        <v>30</v>
      </c>
      <c r="C543" s="1">
        <v>90655.3</v>
      </c>
      <c r="D543">
        <v>542</v>
      </c>
    </row>
    <row r="544" spans="1:4" x14ac:dyDescent="0.35">
      <c r="A544">
        <v>10215</v>
      </c>
      <c r="B544">
        <v>33</v>
      </c>
      <c r="C544" s="1">
        <v>90636.97</v>
      </c>
      <c r="D544">
        <v>543</v>
      </c>
    </row>
    <row r="545" spans="1:4" x14ac:dyDescent="0.35">
      <c r="A545">
        <v>11091</v>
      </c>
      <c r="B545">
        <v>31</v>
      </c>
      <c r="C545" s="1">
        <v>90549.15</v>
      </c>
      <c r="D545">
        <v>544</v>
      </c>
    </row>
    <row r="546" spans="1:4" x14ac:dyDescent="0.35">
      <c r="A546">
        <v>11066</v>
      </c>
      <c r="B546">
        <v>36</v>
      </c>
      <c r="C546" s="1">
        <v>90536.44</v>
      </c>
      <c r="D546">
        <v>545</v>
      </c>
    </row>
    <row r="547" spans="1:4" x14ac:dyDescent="0.35">
      <c r="A547">
        <v>10580</v>
      </c>
      <c r="B547">
        <v>31</v>
      </c>
      <c r="C547" s="1">
        <v>90147.41</v>
      </c>
      <c r="D547">
        <v>546</v>
      </c>
    </row>
    <row r="548" spans="1:4" x14ac:dyDescent="0.35">
      <c r="A548">
        <v>10866</v>
      </c>
      <c r="B548">
        <v>38</v>
      </c>
      <c r="C548" s="1">
        <v>90105.46</v>
      </c>
      <c r="D548">
        <v>547</v>
      </c>
    </row>
    <row r="549" spans="1:4" x14ac:dyDescent="0.35">
      <c r="A549">
        <v>10915</v>
      </c>
      <c r="B549">
        <v>34</v>
      </c>
      <c r="C549" s="1">
        <v>90087.86</v>
      </c>
      <c r="D549">
        <v>548</v>
      </c>
    </row>
    <row r="550" spans="1:4" x14ac:dyDescent="0.35">
      <c r="A550">
        <v>10332</v>
      </c>
      <c r="B550">
        <v>38</v>
      </c>
      <c r="C550" s="1">
        <v>90087.45</v>
      </c>
      <c r="D550">
        <v>549</v>
      </c>
    </row>
    <row r="551" spans="1:4" x14ac:dyDescent="0.35">
      <c r="A551">
        <v>10882</v>
      </c>
      <c r="B551">
        <v>36</v>
      </c>
      <c r="C551" s="1">
        <v>89685.17</v>
      </c>
      <c r="D551">
        <v>550</v>
      </c>
    </row>
    <row r="552" spans="1:4" x14ac:dyDescent="0.35">
      <c r="A552">
        <v>10402</v>
      </c>
      <c r="B552">
        <v>35</v>
      </c>
      <c r="C552" s="1">
        <v>89579.51</v>
      </c>
      <c r="D552">
        <v>551</v>
      </c>
    </row>
    <row r="553" spans="1:4" x14ac:dyDescent="0.35">
      <c r="A553">
        <v>10486</v>
      </c>
      <c r="B553">
        <v>33</v>
      </c>
      <c r="C553" s="1">
        <v>89569.67</v>
      </c>
      <c r="D553">
        <v>552</v>
      </c>
    </row>
    <row r="554" spans="1:4" x14ac:dyDescent="0.35">
      <c r="A554">
        <v>10014</v>
      </c>
      <c r="B554">
        <v>32</v>
      </c>
      <c r="C554" s="1">
        <v>89288.62</v>
      </c>
      <c r="D554">
        <v>553</v>
      </c>
    </row>
    <row r="555" spans="1:4" x14ac:dyDescent="0.35">
      <c r="A555">
        <v>10386</v>
      </c>
      <c r="B555">
        <v>39</v>
      </c>
      <c r="C555" s="1">
        <v>88943.82</v>
      </c>
      <c r="D555">
        <v>554</v>
      </c>
    </row>
    <row r="556" spans="1:4" x14ac:dyDescent="0.35">
      <c r="A556">
        <v>10594</v>
      </c>
      <c r="B556">
        <v>36</v>
      </c>
      <c r="C556" s="1">
        <v>88781.18</v>
      </c>
      <c r="D556">
        <v>555</v>
      </c>
    </row>
    <row r="557" spans="1:4" x14ac:dyDescent="0.35">
      <c r="A557">
        <v>10496</v>
      </c>
      <c r="B557">
        <v>37</v>
      </c>
      <c r="C557" s="1">
        <v>88654.36</v>
      </c>
      <c r="D557">
        <v>556</v>
      </c>
    </row>
    <row r="558" spans="1:4" x14ac:dyDescent="0.35">
      <c r="A558">
        <v>10927</v>
      </c>
      <c r="B558">
        <v>31</v>
      </c>
      <c r="C558" s="1">
        <v>88616.67</v>
      </c>
      <c r="D558">
        <v>557</v>
      </c>
    </row>
    <row r="559" spans="1:4" x14ac:dyDescent="0.35">
      <c r="A559">
        <v>10380</v>
      </c>
      <c r="B559">
        <v>32</v>
      </c>
      <c r="C559" s="1">
        <v>88462.82</v>
      </c>
      <c r="D559">
        <v>558</v>
      </c>
    </row>
    <row r="560" spans="1:4" x14ac:dyDescent="0.35">
      <c r="A560">
        <v>10736</v>
      </c>
      <c r="B560">
        <v>31</v>
      </c>
      <c r="C560" s="1">
        <v>88343.86</v>
      </c>
      <c r="D560">
        <v>559</v>
      </c>
    </row>
    <row r="561" spans="1:4" x14ac:dyDescent="0.35">
      <c r="A561">
        <v>11012</v>
      </c>
      <c r="B561">
        <v>37</v>
      </c>
      <c r="C561" s="1">
        <v>88251.67</v>
      </c>
      <c r="D561">
        <v>560</v>
      </c>
    </row>
    <row r="562" spans="1:4" x14ac:dyDescent="0.35">
      <c r="A562">
        <v>11057</v>
      </c>
      <c r="B562">
        <v>31</v>
      </c>
      <c r="C562" s="1">
        <v>88096.61</v>
      </c>
      <c r="D562">
        <v>561</v>
      </c>
    </row>
    <row r="563" spans="1:4" x14ac:dyDescent="0.35">
      <c r="A563">
        <v>10875</v>
      </c>
      <c r="B563">
        <v>38</v>
      </c>
      <c r="C563" s="1">
        <v>87899.58</v>
      </c>
      <c r="D563">
        <v>562</v>
      </c>
    </row>
    <row r="564" spans="1:4" x14ac:dyDescent="0.35">
      <c r="A564">
        <v>10032</v>
      </c>
      <c r="B564">
        <v>39</v>
      </c>
      <c r="C564" s="1">
        <v>87805.57</v>
      </c>
      <c r="D564">
        <v>563</v>
      </c>
    </row>
    <row r="565" spans="1:4" x14ac:dyDescent="0.35">
      <c r="A565">
        <v>10544</v>
      </c>
      <c r="B565">
        <v>32</v>
      </c>
      <c r="C565" s="1">
        <v>87795.839999999997</v>
      </c>
      <c r="D565">
        <v>564</v>
      </c>
    </row>
    <row r="566" spans="1:4" x14ac:dyDescent="0.35">
      <c r="A566">
        <v>10413</v>
      </c>
      <c r="B566">
        <v>33</v>
      </c>
      <c r="C566" s="1">
        <v>87728.22</v>
      </c>
      <c r="D566">
        <v>565</v>
      </c>
    </row>
    <row r="567" spans="1:4" x14ac:dyDescent="0.35">
      <c r="A567">
        <v>10184</v>
      </c>
      <c r="B567">
        <v>36</v>
      </c>
      <c r="C567" s="1">
        <v>87495.83</v>
      </c>
      <c r="D567">
        <v>566</v>
      </c>
    </row>
    <row r="568" spans="1:4" x14ac:dyDescent="0.35">
      <c r="A568">
        <v>10244</v>
      </c>
      <c r="B568">
        <v>33</v>
      </c>
      <c r="C568" s="1">
        <v>87120.47</v>
      </c>
      <c r="D568">
        <v>567</v>
      </c>
    </row>
    <row r="569" spans="1:4" x14ac:dyDescent="0.35">
      <c r="A569">
        <v>10685</v>
      </c>
      <c r="B569">
        <v>39</v>
      </c>
      <c r="C569" s="1">
        <v>87035.3</v>
      </c>
      <c r="D569">
        <v>568</v>
      </c>
    </row>
    <row r="570" spans="1:4" x14ac:dyDescent="0.35">
      <c r="A570">
        <v>10264</v>
      </c>
      <c r="B570">
        <v>33</v>
      </c>
      <c r="C570" s="1">
        <v>86453.19</v>
      </c>
      <c r="D570">
        <v>569</v>
      </c>
    </row>
    <row r="571" spans="1:4" x14ac:dyDescent="0.35">
      <c r="A571">
        <v>10722</v>
      </c>
      <c r="B571">
        <v>38</v>
      </c>
      <c r="C571" s="1">
        <v>86210.86</v>
      </c>
      <c r="D571">
        <v>570</v>
      </c>
    </row>
    <row r="572" spans="1:4" x14ac:dyDescent="0.35">
      <c r="A572">
        <v>10465</v>
      </c>
      <c r="B572">
        <v>31</v>
      </c>
      <c r="C572" s="1">
        <v>85827.06</v>
      </c>
      <c r="D572">
        <v>571</v>
      </c>
    </row>
    <row r="573" spans="1:4" x14ac:dyDescent="0.35">
      <c r="A573">
        <v>10897</v>
      </c>
      <c r="B573">
        <v>32</v>
      </c>
      <c r="C573" s="1">
        <v>85513.14</v>
      </c>
      <c r="D573">
        <v>572</v>
      </c>
    </row>
    <row r="574" spans="1:4" x14ac:dyDescent="0.35">
      <c r="A574">
        <v>10366</v>
      </c>
      <c r="B574">
        <v>37</v>
      </c>
      <c r="C574" s="1">
        <v>85492.49</v>
      </c>
      <c r="D574">
        <v>573</v>
      </c>
    </row>
    <row r="575" spans="1:4" x14ac:dyDescent="0.35">
      <c r="A575">
        <v>10806</v>
      </c>
      <c r="B575">
        <v>30</v>
      </c>
      <c r="C575" s="1">
        <v>85348.41</v>
      </c>
      <c r="D575">
        <v>574</v>
      </c>
    </row>
    <row r="576" spans="1:4" x14ac:dyDescent="0.35">
      <c r="A576">
        <v>10013</v>
      </c>
      <c r="B576">
        <v>33</v>
      </c>
      <c r="C576" s="1">
        <v>85010.52</v>
      </c>
      <c r="D576">
        <v>575</v>
      </c>
    </row>
    <row r="577" spans="1:4" x14ac:dyDescent="0.35">
      <c r="A577">
        <v>10615</v>
      </c>
      <c r="B577">
        <v>40</v>
      </c>
      <c r="C577" s="1">
        <v>84866.28</v>
      </c>
      <c r="D577">
        <v>576</v>
      </c>
    </row>
    <row r="578" spans="1:4" x14ac:dyDescent="0.35">
      <c r="A578">
        <v>10876</v>
      </c>
      <c r="B578">
        <v>34</v>
      </c>
      <c r="C578" s="1">
        <v>84639.679999999993</v>
      </c>
      <c r="D578">
        <v>577</v>
      </c>
    </row>
    <row r="579" spans="1:4" x14ac:dyDescent="0.35">
      <c r="A579">
        <v>10853</v>
      </c>
      <c r="B579">
        <v>29</v>
      </c>
      <c r="C579" s="1">
        <v>84621.11</v>
      </c>
      <c r="D579">
        <v>578</v>
      </c>
    </row>
    <row r="580" spans="1:4" x14ac:dyDescent="0.35">
      <c r="A580">
        <v>10420</v>
      </c>
      <c r="B580">
        <v>33</v>
      </c>
      <c r="C580" s="1">
        <v>84556.84</v>
      </c>
      <c r="D580">
        <v>579</v>
      </c>
    </row>
    <row r="581" spans="1:4" x14ac:dyDescent="0.35">
      <c r="A581">
        <v>10462</v>
      </c>
      <c r="B581">
        <v>32</v>
      </c>
      <c r="C581" s="1">
        <v>84550.85</v>
      </c>
      <c r="D581">
        <v>580</v>
      </c>
    </row>
    <row r="582" spans="1:4" x14ac:dyDescent="0.35">
      <c r="A582">
        <v>10049</v>
      </c>
      <c r="B582">
        <v>28</v>
      </c>
      <c r="C582" s="1">
        <v>84494.37</v>
      </c>
      <c r="D582">
        <v>581</v>
      </c>
    </row>
    <row r="583" spans="1:4" x14ac:dyDescent="0.35">
      <c r="A583">
        <v>10830</v>
      </c>
      <c r="B583">
        <v>30</v>
      </c>
      <c r="C583" s="1">
        <v>84451.15</v>
      </c>
      <c r="D583">
        <v>582</v>
      </c>
    </row>
    <row r="584" spans="1:4" x14ac:dyDescent="0.35">
      <c r="A584">
        <v>11061</v>
      </c>
      <c r="B584">
        <v>33</v>
      </c>
      <c r="C584" s="1">
        <v>84366.52</v>
      </c>
      <c r="D584">
        <v>583</v>
      </c>
    </row>
    <row r="585" spans="1:4" x14ac:dyDescent="0.35">
      <c r="A585">
        <v>10257</v>
      </c>
      <c r="B585">
        <v>35</v>
      </c>
      <c r="C585" s="1">
        <v>84206.65</v>
      </c>
      <c r="D585">
        <v>584</v>
      </c>
    </row>
    <row r="586" spans="1:4" x14ac:dyDescent="0.35">
      <c r="A586">
        <v>10863</v>
      </c>
      <c r="B586">
        <v>31</v>
      </c>
      <c r="C586" s="1">
        <v>84088.86</v>
      </c>
      <c r="D586">
        <v>585</v>
      </c>
    </row>
    <row r="587" spans="1:4" x14ac:dyDescent="0.35">
      <c r="A587">
        <v>11062</v>
      </c>
      <c r="B587">
        <v>32</v>
      </c>
      <c r="C587" s="1">
        <v>84031.6</v>
      </c>
      <c r="D587">
        <v>586</v>
      </c>
    </row>
    <row r="588" spans="1:4" x14ac:dyDescent="0.35">
      <c r="A588">
        <v>10942</v>
      </c>
      <c r="B588">
        <v>32</v>
      </c>
      <c r="C588" s="1">
        <v>83987.88</v>
      </c>
      <c r="D588">
        <v>587</v>
      </c>
    </row>
    <row r="589" spans="1:4" x14ac:dyDescent="0.35">
      <c r="A589">
        <v>10799</v>
      </c>
      <c r="B589">
        <v>33</v>
      </c>
      <c r="C589" s="1">
        <v>83977.18</v>
      </c>
      <c r="D589">
        <v>588</v>
      </c>
    </row>
    <row r="590" spans="1:4" x14ac:dyDescent="0.35">
      <c r="A590">
        <v>10566</v>
      </c>
      <c r="B590">
        <v>33</v>
      </c>
      <c r="C590" s="1">
        <v>83923.02</v>
      </c>
      <c r="D590">
        <v>589</v>
      </c>
    </row>
    <row r="591" spans="1:4" x14ac:dyDescent="0.35">
      <c r="A591">
        <v>10348</v>
      </c>
      <c r="B591">
        <v>35</v>
      </c>
      <c r="C591" s="1">
        <v>83903.43</v>
      </c>
      <c r="D591">
        <v>590</v>
      </c>
    </row>
    <row r="592" spans="1:4" x14ac:dyDescent="0.35">
      <c r="A592">
        <v>10463</v>
      </c>
      <c r="B592">
        <v>33</v>
      </c>
      <c r="C592" s="1">
        <v>83709.7</v>
      </c>
      <c r="D592">
        <v>591</v>
      </c>
    </row>
    <row r="593" spans="1:4" x14ac:dyDescent="0.35">
      <c r="A593">
        <v>10537</v>
      </c>
      <c r="B593">
        <v>32</v>
      </c>
      <c r="C593" s="1">
        <v>83670.820000000007</v>
      </c>
      <c r="D593">
        <v>592</v>
      </c>
    </row>
    <row r="594" spans="1:4" x14ac:dyDescent="0.35">
      <c r="A594">
        <v>10433</v>
      </c>
      <c r="B594">
        <v>33</v>
      </c>
      <c r="C594" s="1">
        <v>83560.53</v>
      </c>
      <c r="D594">
        <v>593</v>
      </c>
    </row>
    <row r="595" spans="1:4" x14ac:dyDescent="0.35">
      <c r="A595">
        <v>10415</v>
      </c>
      <c r="B595">
        <v>37</v>
      </c>
      <c r="C595" s="1">
        <v>83490.259999999995</v>
      </c>
      <c r="D595">
        <v>594</v>
      </c>
    </row>
    <row r="596" spans="1:4" x14ac:dyDescent="0.35">
      <c r="A596">
        <v>10435</v>
      </c>
      <c r="B596">
        <v>35</v>
      </c>
      <c r="C596" s="1">
        <v>83446.990000000005</v>
      </c>
      <c r="D596">
        <v>595</v>
      </c>
    </row>
    <row r="597" spans="1:4" x14ac:dyDescent="0.35">
      <c r="A597">
        <v>10375</v>
      </c>
      <c r="B597">
        <v>31</v>
      </c>
      <c r="C597" s="1">
        <v>83437.460000000006</v>
      </c>
      <c r="D597">
        <v>596</v>
      </c>
    </row>
    <row r="598" spans="1:4" x14ac:dyDescent="0.35">
      <c r="A598">
        <v>11004</v>
      </c>
      <c r="B598">
        <v>32</v>
      </c>
      <c r="C598" s="1">
        <v>83356.37</v>
      </c>
      <c r="D598">
        <v>597</v>
      </c>
    </row>
    <row r="599" spans="1:4" x14ac:dyDescent="0.35">
      <c r="A599">
        <v>10776</v>
      </c>
      <c r="B599">
        <v>33</v>
      </c>
      <c r="C599" s="1">
        <v>83309</v>
      </c>
      <c r="D599">
        <v>598</v>
      </c>
    </row>
    <row r="600" spans="1:4" x14ac:dyDescent="0.35">
      <c r="A600">
        <v>10794</v>
      </c>
      <c r="B600">
        <v>29</v>
      </c>
      <c r="C600" s="1">
        <v>82999.22</v>
      </c>
      <c r="D600">
        <v>599</v>
      </c>
    </row>
    <row r="601" spans="1:4" x14ac:dyDescent="0.35">
      <c r="A601">
        <v>10337</v>
      </c>
      <c r="B601">
        <v>31</v>
      </c>
      <c r="C601" s="1">
        <v>82965.89</v>
      </c>
      <c r="D601">
        <v>600</v>
      </c>
    </row>
    <row r="602" spans="1:4" x14ac:dyDescent="0.35">
      <c r="A602">
        <v>10610</v>
      </c>
      <c r="B602">
        <v>31</v>
      </c>
      <c r="C602" s="1">
        <v>82960.570000000007</v>
      </c>
      <c r="D602">
        <v>601</v>
      </c>
    </row>
    <row r="603" spans="1:4" x14ac:dyDescent="0.35">
      <c r="A603">
        <v>10862</v>
      </c>
      <c r="B603">
        <v>29</v>
      </c>
      <c r="C603" s="1">
        <v>82871.47</v>
      </c>
      <c r="D603">
        <v>602</v>
      </c>
    </row>
    <row r="604" spans="1:4" x14ac:dyDescent="0.35">
      <c r="A604">
        <v>10757</v>
      </c>
      <c r="B604">
        <v>33</v>
      </c>
      <c r="C604" s="1">
        <v>82805.05</v>
      </c>
      <c r="D604">
        <v>603</v>
      </c>
    </row>
    <row r="605" spans="1:4" x14ac:dyDescent="0.35">
      <c r="A605">
        <v>10410</v>
      </c>
      <c r="B605">
        <v>36</v>
      </c>
      <c r="C605" s="1">
        <v>82795.66</v>
      </c>
      <c r="D605">
        <v>604</v>
      </c>
    </row>
    <row r="606" spans="1:4" x14ac:dyDescent="0.35">
      <c r="A606">
        <v>10140</v>
      </c>
      <c r="B606">
        <v>28</v>
      </c>
      <c r="C606" s="1">
        <v>82761.279999999999</v>
      </c>
      <c r="D606">
        <v>605</v>
      </c>
    </row>
    <row r="607" spans="1:4" x14ac:dyDescent="0.35">
      <c r="A607">
        <v>10747</v>
      </c>
      <c r="B607">
        <v>33</v>
      </c>
      <c r="C607" s="1">
        <v>82519.06</v>
      </c>
      <c r="D607">
        <v>606</v>
      </c>
    </row>
    <row r="608" spans="1:4" x14ac:dyDescent="0.35">
      <c r="A608">
        <v>11024</v>
      </c>
      <c r="B608">
        <v>34</v>
      </c>
      <c r="C608" s="1">
        <v>82488.63</v>
      </c>
      <c r="D608">
        <v>607</v>
      </c>
    </row>
    <row r="609" spans="1:4" x14ac:dyDescent="0.35">
      <c r="A609">
        <v>10661</v>
      </c>
      <c r="B609">
        <v>29</v>
      </c>
      <c r="C609" s="1">
        <v>82436.02</v>
      </c>
      <c r="D609">
        <v>608</v>
      </c>
    </row>
    <row r="610" spans="1:4" x14ac:dyDescent="0.35">
      <c r="A610">
        <v>10464</v>
      </c>
      <c r="B610">
        <v>39</v>
      </c>
      <c r="C610" s="1">
        <v>82414.600000000006</v>
      </c>
      <c r="D610">
        <v>609</v>
      </c>
    </row>
    <row r="611" spans="1:4" x14ac:dyDescent="0.35">
      <c r="A611">
        <v>10635</v>
      </c>
      <c r="B611">
        <v>36</v>
      </c>
      <c r="C611" s="1">
        <v>82378.740000000005</v>
      </c>
      <c r="D611">
        <v>610</v>
      </c>
    </row>
    <row r="612" spans="1:4" x14ac:dyDescent="0.35">
      <c r="A612">
        <v>10570</v>
      </c>
      <c r="B612">
        <v>37</v>
      </c>
      <c r="C612" s="1">
        <v>82208.570000000007</v>
      </c>
      <c r="D612">
        <v>611</v>
      </c>
    </row>
    <row r="613" spans="1:4" x14ac:dyDescent="0.35">
      <c r="A613">
        <v>10182</v>
      </c>
      <c r="B613">
        <v>25</v>
      </c>
      <c r="C613" s="1">
        <v>82144.06</v>
      </c>
      <c r="D613">
        <v>612</v>
      </c>
    </row>
    <row r="614" spans="1:4" x14ac:dyDescent="0.35">
      <c r="A614">
        <v>10016</v>
      </c>
      <c r="B614">
        <v>39</v>
      </c>
      <c r="C614" s="1">
        <v>81924.36</v>
      </c>
      <c r="D614">
        <v>613</v>
      </c>
    </row>
    <row r="615" spans="1:4" x14ac:dyDescent="0.35">
      <c r="A615">
        <v>10525</v>
      </c>
      <c r="B615">
        <v>34</v>
      </c>
      <c r="C615" s="1">
        <v>81758.36</v>
      </c>
      <c r="D615">
        <v>614</v>
      </c>
    </row>
    <row r="616" spans="1:4" x14ac:dyDescent="0.35">
      <c r="A616">
        <v>10466</v>
      </c>
      <c r="B616">
        <v>34</v>
      </c>
      <c r="C616" s="1">
        <v>81735.48</v>
      </c>
      <c r="D616">
        <v>615</v>
      </c>
    </row>
    <row r="617" spans="1:4" x14ac:dyDescent="0.35">
      <c r="A617">
        <v>10796</v>
      </c>
      <c r="B617">
        <v>33</v>
      </c>
      <c r="C617" s="1">
        <v>81728.460000000006</v>
      </c>
      <c r="D617">
        <v>616</v>
      </c>
    </row>
    <row r="618" spans="1:4" x14ac:dyDescent="0.35">
      <c r="A618">
        <v>10000</v>
      </c>
      <c r="B618">
        <v>36</v>
      </c>
      <c r="C618" s="1">
        <v>81668.039999999994</v>
      </c>
      <c r="D618">
        <v>617</v>
      </c>
    </row>
    <row r="619" spans="1:4" x14ac:dyDescent="0.35">
      <c r="A619">
        <v>10255</v>
      </c>
      <c r="B619">
        <v>31</v>
      </c>
      <c r="C619" s="1">
        <v>81603.38</v>
      </c>
      <c r="D619">
        <v>618</v>
      </c>
    </row>
    <row r="620" spans="1:4" x14ac:dyDescent="0.35">
      <c r="A620">
        <v>10984</v>
      </c>
      <c r="B620">
        <v>32</v>
      </c>
      <c r="C620" s="1">
        <v>81490.929999999993</v>
      </c>
      <c r="D620">
        <v>619</v>
      </c>
    </row>
    <row r="621" spans="1:4" x14ac:dyDescent="0.35">
      <c r="A621">
        <v>10325</v>
      </c>
      <c r="B621">
        <v>31</v>
      </c>
      <c r="C621" s="1">
        <v>81441</v>
      </c>
      <c r="D621">
        <v>620</v>
      </c>
    </row>
    <row r="622" spans="1:4" x14ac:dyDescent="0.35">
      <c r="A622">
        <v>10994</v>
      </c>
      <c r="B622">
        <v>33</v>
      </c>
      <c r="C622" s="1">
        <v>81407.509999999995</v>
      </c>
      <c r="D622">
        <v>621</v>
      </c>
    </row>
    <row r="623" spans="1:4" x14ac:dyDescent="0.35">
      <c r="A623">
        <v>10127</v>
      </c>
      <c r="B623">
        <v>32</v>
      </c>
      <c r="C623" s="1">
        <v>81351.78</v>
      </c>
      <c r="D623">
        <v>622</v>
      </c>
    </row>
    <row r="624" spans="1:4" x14ac:dyDescent="0.35">
      <c r="A624">
        <v>10340</v>
      </c>
      <c r="B624">
        <v>33</v>
      </c>
      <c r="C624" s="1">
        <v>81325.509999999995</v>
      </c>
      <c r="D624">
        <v>623</v>
      </c>
    </row>
    <row r="625" spans="1:4" x14ac:dyDescent="0.35">
      <c r="A625">
        <v>10932</v>
      </c>
      <c r="B625">
        <v>34</v>
      </c>
      <c r="C625" s="1">
        <v>81307.78</v>
      </c>
      <c r="D625">
        <v>624</v>
      </c>
    </row>
    <row r="626" spans="1:4" x14ac:dyDescent="0.35">
      <c r="A626">
        <v>10438</v>
      </c>
      <c r="B626">
        <v>33</v>
      </c>
      <c r="C626" s="1">
        <v>81290.259999999995</v>
      </c>
      <c r="D626">
        <v>625</v>
      </c>
    </row>
    <row r="627" spans="1:4" x14ac:dyDescent="0.35">
      <c r="A627">
        <v>10499</v>
      </c>
      <c r="B627">
        <v>34</v>
      </c>
      <c r="C627" s="1">
        <v>81111.3</v>
      </c>
      <c r="D627">
        <v>626</v>
      </c>
    </row>
    <row r="628" spans="1:4" x14ac:dyDescent="0.35">
      <c r="A628">
        <v>10855</v>
      </c>
      <c r="B628">
        <v>33</v>
      </c>
      <c r="C628" s="1">
        <v>80966.070000000007</v>
      </c>
      <c r="D628">
        <v>627</v>
      </c>
    </row>
    <row r="629" spans="1:4" x14ac:dyDescent="0.35">
      <c r="A629">
        <v>10564</v>
      </c>
      <c r="B629">
        <v>31</v>
      </c>
      <c r="C629" s="1">
        <v>80942.899999999994</v>
      </c>
      <c r="D629">
        <v>628</v>
      </c>
    </row>
    <row r="630" spans="1:4" x14ac:dyDescent="0.35">
      <c r="A630">
        <v>11077</v>
      </c>
      <c r="B630">
        <v>30</v>
      </c>
      <c r="C630" s="1">
        <v>80505.38</v>
      </c>
      <c r="D630">
        <v>629</v>
      </c>
    </row>
    <row r="631" spans="1:4" x14ac:dyDescent="0.35">
      <c r="A631">
        <v>10742</v>
      </c>
      <c r="B631">
        <v>32</v>
      </c>
      <c r="C631" s="1">
        <v>80461.84</v>
      </c>
      <c r="D631">
        <v>630</v>
      </c>
    </row>
    <row r="632" spans="1:4" x14ac:dyDescent="0.35">
      <c r="A632">
        <v>10481</v>
      </c>
      <c r="B632">
        <v>33</v>
      </c>
      <c r="C632" s="1">
        <v>80335.47</v>
      </c>
      <c r="D632">
        <v>631</v>
      </c>
    </row>
    <row r="633" spans="1:4" x14ac:dyDescent="0.35">
      <c r="A633">
        <v>10870</v>
      </c>
      <c r="B633">
        <v>30</v>
      </c>
      <c r="C633" s="1">
        <v>80198.240000000005</v>
      </c>
      <c r="D633">
        <v>632</v>
      </c>
    </row>
    <row r="634" spans="1:4" x14ac:dyDescent="0.35">
      <c r="A634">
        <v>10824</v>
      </c>
      <c r="B634">
        <v>29</v>
      </c>
      <c r="C634" s="1">
        <v>79927.429999999993</v>
      </c>
      <c r="D634">
        <v>633</v>
      </c>
    </row>
    <row r="635" spans="1:4" x14ac:dyDescent="0.35">
      <c r="A635">
        <v>10277</v>
      </c>
      <c r="B635">
        <v>31</v>
      </c>
      <c r="C635" s="1">
        <v>79576.38</v>
      </c>
      <c r="D635">
        <v>634</v>
      </c>
    </row>
    <row r="636" spans="1:4" x14ac:dyDescent="0.35">
      <c r="A636">
        <v>10021</v>
      </c>
      <c r="B636">
        <v>30</v>
      </c>
      <c r="C636" s="1">
        <v>79538.759999999995</v>
      </c>
      <c r="D636">
        <v>635</v>
      </c>
    </row>
    <row r="637" spans="1:4" x14ac:dyDescent="0.35">
      <c r="A637">
        <v>10001</v>
      </c>
      <c r="B637">
        <v>34</v>
      </c>
      <c r="C637" s="1">
        <v>79482.17</v>
      </c>
      <c r="D637">
        <v>636</v>
      </c>
    </row>
    <row r="638" spans="1:4" x14ac:dyDescent="0.35">
      <c r="A638">
        <v>11037</v>
      </c>
      <c r="B638">
        <v>31</v>
      </c>
      <c r="C638" s="1">
        <v>79481.41</v>
      </c>
      <c r="D638">
        <v>637</v>
      </c>
    </row>
    <row r="639" spans="1:4" x14ac:dyDescent="0.35">
      <c r="A639">
        <v>10929</v>
      </c>
      <c r="B639">
        <v>30</v>
      </c>
      <c r="C639" s="1">
        <v>79255.59</v>
      </c>
      <c r="D639">
        <v>638</v>
      </c>
    </row>
    <row r="640" spans="1:4" x14ac:dyDescent="0.35">
      <c r="A640">
        <v>10614</v>
      </c>
      <c r="B640">
        <v>32</v>
      </c>
      <c r="C640" s="1">
        <v>78893.02</v>
      </c>
      <c r="D640">
        <v>639</v>
      </c>
    </row>
    <row r="641" spans="1:4" x14ac:dyDescent="0.35">
      <c r="A641">
        <v>10455</v>
      </c>
      <c r="B641">
        <v>29</v>
      </c>
      <c r="C641" s="1">
        <v>78870.11</v>
      </c>
      <c r="D641">
        <v>640</v>
      </c>
    </row>
    <row r="642" spans="1:4" x14ac:dyDescent="0.35">
      <c r="A642">
        <v>10678</v>
      </c>
      <c r="B642">
        <v>31</v>
      </c>
      <c r="C642" s="1">
        <v>78690.05</v>
      </c>
      <c r="D642">
        <v>641</v>
      </c>
    </row>
    <row r="643" spans="1:4" x14ac:dyDescent="0.35">
      <c r="A643">
        <v>10388</v>
      </c>
      <c r="B643">
        <v>31</v>
      </c>
      <c r="C643" s="1">
        <v>78652.570000000007</v>
      </c>
      <c r="D643">
        <v>642</v>
      </c>
    </row>
    <row r="644" spans="1:4" x14ac:dyDescent="0.35">
      <c r="A644">
        <v>10452</v>
      </c>
      <c r="B644">
        <v>30</v>
      </c>
      <c r="C644" s="1">
        <v>78470.259999999995</v>
      </c>
      <c r="D644">
        <v>643</v>
      </c>
    </row>
    <row r="645" spans="1:4" x14ac:dyDescent="0.35">
      <c r="A645">
        <v>10079</v>
      </c>
      <c r="B645">
        <v>30</v>
      </c>
      <c r="C645" s="1">
        <v>78443.38</v>
      </c>
      <c r="D645">
        <v>644</v>
      </c>
    </row>
    <row r="646" spans="1:4" x14ac:dyDescent="0.35">
      <c r="A646">
        <v>10018</v>
      </c>
      <c r="B646">
        <v>34</v>
      </c>
      <c r="C646" s="1">
        <v>78408.479999999996</v>
      </c>
      <c r="D646">
        <v>645</v>
      </c>
    </row>
    <row r="647" spans="1:4" x14ac:dyDescent="0.35">
      <c r="A647">
        <v>10319</v>
      </c>
      <c r="B647">
        <v>27</v>
      </c>
      <c r="C647" s="1">
        <v>78405.77</v>
      </c>
      <c r="D647">
        <v>646</v>
      </c>
    </row>
    <row r="648" spans="1:4" x14ac:dyDescent="0.35">
      <c r="A648">
        <v>10786</v>
      </c>
      <c r="B648">
        <v>33</v>
      </c>
      <c r="C648" s="1">
        <v>78352.69</v>
      </c>
      <c r="D648">
        <v>647</v>
      </c>
    </row>
    <row r="649" spans="1:4" x14ac:dyDescent="0.35">
      <c r="A649">
        <v>10117</v>
      </c>
      <c r="B649">
        <v>28</v>
      </c>
      <c r="C649" s="1">
        <v>78321.02</v>
      </c>
      <c r="D649">
        <v>648</v>
      </c>
    </row>
    <row r="650" spans="1:4" x14ac:dyDescent="0.35">
      <c r="A650">
        <v>10041</v>
      </c>
      <c r="B650">
        <v>29</v>
      </c>
      <c r="C650" s="1">
        <v>78228.09</v>
      </c>
      <c r="D650">
        <v>649</v>
      </c>
    </row>
    <row r="651" spans="1:4" x14ac:dyDescent="0.35">
      <c r="A651">
        <v>10422</v>
      </c>
      <c r="B651">
        <v>30</v>
      </c>
      <c r="C651" s="1">
        <v>77983.070000000007</v>
      </c>
      <c r="D651">
        <v>650</v>
      </c>
    </row>
    <row r="652" spans="1:4" x14ac:dyDescent="0.35">
      <c r="A652">
        <v>11073</v>
      </c>
      <c r="B652">
        <v>32</v>
      </c>
      <c r="C652" s="1">
        <v>77899.47</v>
      </c>
      <c r="D652">
        <v>651</v>
      </c>
    </row>
    <row r="653" spans="1:4" x14ac:dyDescent="0.35">
      <c r="A653">
        <v>11002</v>
      </c>
      <c r="B653">
        <v>34</v>
      </c>
      <c r="C653" s="1">
        <v>77886.55</v>
      </c>
      <c r="D653">
        <v>652</v>
      </c>
    </row>
    <row r="654" spans="1:4" x14ac:dyDescent="0.35">
      <c r="A654">
        <v>10709</v>
      </c>
      <c r="B654">
        <v>29</v>
      </c>
      <c r="C654" s="1">
        <v>77766.11</v>
      </c>
      <c r="D654">
        <v>653</v>
      </c>
    </row>
    <row r="655" spans="1:4" x14ac:dyDescent="0.35">
      <c r="A655">
        <v>10802</v>
      </c>
      <c r="B655">
        <v>28</v>
      </c>
      <c r="C655" s="1">
        <v>77440.460000000006</v>
      </c>
      <c r="D655">
        <v>654</v>
      </c>
    </row>
    <row r="656" spans="1:4" x14ac:dyDescent="0.35">
      <c r="A656">
        <v>11053</v>
      </c>
      <c r="B656">
        <v>32</v>
      </c>
      <c r="C656" s="1">
        <v>77241.16</v>
      </c>
      <c r="D656">
        <v>655</v>
      </c>
    </row>
    <row r="657" spans="1:4" x14ac:dyDescent="0.35">
      <c r="A657">
        <v>11050</v>
      </c>
      <c r="B657">
        <v>35</v>
      </c>
      <c r="C657" s="1">
        <v>77205.83</v>
      </c>
      <c r="D657">
        <v>656</v>
      </c>
    </row>
    <row r="658" spans="1:4" x14ac:dyDescent="0.35">
      <c r="A658">
        <v>10986</v>
      </c>
      <c r="B658">
        <v>34</v>
      </c>
      <c r="C658" s="1">
        <v>77160.11</v>
      </c>
      <c r="D658">
        <v>657</v>
      </c>
    </row>
    <row r="659" spans="1:4" x14ac:dyDescent="0.35">
      <c r="A659">
        <v>10327</v>
      </c>
      <c r="B659">
        <v>34</v>
      </c>
      <c r="C659" s="1">
        <v>77147.59</v>
      </c>
      <c r="D659">
        <v>658</v>
      </c>
    </row>
    <row r="660" spans="1:4" x14ac:dyDescent="0.35">
      <c r="A660">
        <v>10993</v>
      </c>
      <c r="B660">
        <v>30</v>
      </c>
      <c r="C660" s="1">
        <v>77131.08</v>
      </c>
      <c r="D660">
        <v>659</v>
      </c>
    </row>
    <row r="661" spans="1:4" x14ac:dyDescent="0.35">
      <c r="A661">
        <v>10102</v>
      </c>
      <c r="B661">
        <v>29</v>
      </c>
      <c r="C661" s="1">
        <v>77046.710000000006</v>
      </c>
      <c r="D661">
        <v>660</v>
      </c>
    </row>
    <row r="662" spans="1:4" x14ac:dyDescent="0.35">
      <c r="A662">
        <v>10273</v>
      </c>
      <c r="B662">
        <v>34</v>
      </c>
      <c r="C662" s="1">
        <v>76982.13</v>
      </c>
      <c r="D662">
        <v>661</v>
      </c>
    </row>
    <row r="663" spans="1:4" x14ac:dyDescent="0.35">
      <c r="A663">
        <v>11084</v>
      </c>
      <c r="B663">
        <v>37</v>
      </c>
      <c r="C663" s="1">
        <v>76823.240000000005</v>
      </c>
      <c r="D663">
        <v>662</v>
      </c>
    </row>
    <row r="664" spans="1:4" x14ac:dyDescent="0.35">
      <c r="A664">
        <v>10992</v>
      </c>
      <c r="B664">
        <v>28</v>
      </c>
      <c r="C664" s="1">
        <v>76670.259999999995</v>
      </c>
      <c r="D664">
        <v>663</v>
      </c>
    </row>
    <row r="665" spans="1:4" x14ac:dyDescent="0.35">
      <c r="A665">
        <v>10852</v>
      </c>
      <c r="B665">
        <v>29</v>
      </c>
      <c r="C665" s="1">
        <v>76206.03</v>
      </c>
      <c r="D665">
        <v>664</v>
      </c>
    </row>
    <row r="666" spans="1:4" x14ac:dyDescent="0.35">
      <c r="A666">
        <v>10282</v>
      </c>
      <c r="B666">
        <v>31</v>
      </c>
      <c r="C666" s="1">
        <v>75940.350000000006</v>
      </c>
      <c r="D666">
        <v>665</v>
      </c>
    </row>
    <row r="667" spans="1:4" x14ac:dyDescent="0.35">
      <c r="A667">
        <v>10442</v>
      </c>
      <c r="B667">
        <v>28</v>
      </c>
      <c r="C667" s="1">
        <v>75840.23</v>
      </c>
      <c r="D667">
        <v>666</v>
      </c>
    </row>
    <row r="668" spans="1:4" x14ac:dyDescent="0.35">
      <c r="A668">
        <v>10534</v>
      </c>
      <c r="B668">
        <v>31</v>
      </c>
      <c r="C668" s="1">
        <v>75546.23</v>
      </c>
      <c r="D668">
        <v>667</v>
      </c>
    </row>
    <row r="669" spans="1:4" x14ac:dyDescent="0.35">
      <c r="A669">
        <v>10664</v>
      </c>
      <c r="B669">
        <v>30</v>
      </c>
      <c r="C669" s="1">
        <v>75307.08</v>
      </c>
      <c r="D669">
        <v>668</v>
      </c>
    </row>
    <row r="670" spans="1:4" x14ac:dyDescent="0.35">
      <c r="A670">
        <v>10907</v>
      </c>
      <c r="B670">
        <v>31</v>
      </c>
      <c r="C670" s="1">
        <v>75193.429999999993</v>
      </c>
      <c r="D670">
        <v>669</v>
      </c>
    </row>
    <row r="671" spans="1:4" x14ac:dyDescent="0.35">
      <c r="A671">
        <v>10540</v>
      </c>
      <c r="B671">
        <v>34</v>
      </c>
      <c r="C671" s="1">
        <v>74937.73</v>
      </c>
      <c r="D671">
        <v>670</v>
      </c>
    </row>
    <row r="672" spans="1:4" x14ac:dyDescent="0.35">
      <c r="A672">
        <v>10490</v>
      </c>
      <c r="B672">
        <v>28</v>
      </c>
      <c r="C672" s="1">
        <v>74912.22</v>
      </c>
      <c r="D672">
        <v>671</v>
      </c>
    </row>
    <row r="673" spans="1:4" x14ac:dyDescent="0.35">
      <c r="A673">
        <v>10750</v>
      </c>
      <c r="B673">
        <v>34</v>
      </c>
      <c r="C673" s="1">
        <v>74895.95</v>
      </c>
      <c r="D673">
        <v>672</v>
      </c>
    </row>
    <row r="674" spans="1:4" x14ac:dyDescent="0.35">
      <c r="A674">
        <v>10279</v>
      </c>
      <c r="B674">
        <v>33</v>
      </c>
      <c r="C674" s="1">
        <v>74887.850000000006</v>
      </c>
      <c r="D674">
        <v>673</v>
      </c>
    </row>
    <row r="675" spans="1:4" x14ac:dyDescent="0.35">
      <c r="A675">
        <v>10688</v>
      </c>
      <c r="B675">
        <v>28</v>
      </c>
      <c r="C675" s="1">
        <v>74745.31</v>
      </c>
      <c r="D675">
        <v>674</v>
      </c>
    </row>
    <row r="676" spans="1:4" x14ac:dyDescent="0.35">
      <c r="A676">
        <v>10881</v>
      </c>
      <c r="B676">
        <v>30</v>
      </c>
      <c r="C676" s="1">
        <v>74521.41</v>
      </c>
      <c r="D676">
        <v>675</v>
      </c>
    </row>
    <row r="677" spans="1:4" x14ac:dyDescent="0.35">
      <c r="A677">
        <v>10440</v>
      </c>
      <c r="B677">
        <v>28</v>
      </c>
      <c r="C677" s="1">
        <v>73639.710000000006</v>
      </c>
      <c r="D677">
        <v>676</v>
      </c>
    </row>
    <row r="678" spans="1:4" x14ac:dyDescent="0.35">
      <c r="A678">
        <v>10276</v>
      </c>
      <c r="B678">
        <v>28</v>
      </c>
      <c r="C678" s="1">
        <v>73310.490000000005</v>
      </c>
      <c r="D678">
        <v>677</v>
      </c>
    </row>
    <row r="679" spans="1:4" x14ac:dyDescent="0.35">
      <c r="A679">
        <v>10093</v>
      </c>
      <c r="B679">
        <v>28</v>
      </c>
      <c r="C679" s="1">
        <v>73187.19</v>
      </c>
      <c r="D679">
        <v>678</v>
      </c>
    </row>
    <row r="680" spans="1:4" x14ac:dyDescent="0.35">
      <c r="A680">
        <v>10353</v>
      </c>
      <c r="B680">
        <v>32</v>
      </c>
      <c r="C680" s="1">
        <v>73006.509999999995</v>
      </c>
      <c r="D680">
        <v>679</v>
      </c>
    </row>
    <row r="681" spans="1:4" x14ac:dyDescent="0.35">
      <c r="A681">
        <v>10082</v>
      </c>
      <c r="B681">
        <v>26</v>
      </c>
      <c r="C681" s="1">
        <v>72984.03</v>
      </c>
      <c r="D681">
        <v>680</v>
      </c>
    </row>
    <row r="682" spans="1:4" x14ac:dyDescent="0.35">
      <c r="A682">
        <v>10320</v>
      </c>
      <c r="B682">
        <v>27</v>
      </c>
      <c r="C682" s="1">
        <v>72866.44</v>
      </c>
      <c r="D682">
        <v>681</v>
      </c>
    </row>
    <row r="683" spans="1:4" x14ac:dyDescent="0.35">
      <c r="A683">
        <v>10372</v>
      </c>
      <c r="B683">
        <v>25</v>
      </c>
      <c r="C683" s="1">
        <v>72732.100000000006</v>
      </c>
      <c r="D683">
        <v>682</v>
      </c>
    </row>
    <row r="684" spans="1:4" x14ac:dyDescent="0.35">
      <c r="A684">
        <v>10185</v>
      </c>
      <c r="B684">
        <v>27</v>
      </c>
      <c r="C684" s="1">
        <v>72464.75</v>
      </c>
      <c r="D684">
        <v>683</v>
      </c>
    </row>
    <row r="685" spans="1:4" x14ac:dyDescent="0.35">
      <c r="A685">
        <v>10910</v>
      </c>
      <c r="B685">
        <v>25</v>
      </c>
      <c r="C685" s="1">
        <v>72317.600000000006</v>
      </c>
      <c r="D685">
        <v>684</v>
      </c>
    </row>
    <row r="686" spans="1:4" x14ac:dyDescent="0.35">
      <c r="A686">
        <v>10054</v>
      </c>
      <c r="B686">
        <v>28</v>
      </c>
      <c r="C686" s="1">
        <v>72197.19</v>
      </c>
      <c r="D686">
        <v>685</v>
      </c>
    </row>
    <row r="687" spans="1:4" x14ac:dyDescent="0.35">
      <c r="A687">
        <v>10235</v>
      </c>
      <c r="B687">
        <v>36</v>
      </c>
      <c r="C687" s="1">
        <v>72062.86</v>
      </c>
      <c r="D687">
        <v>686</v>
      </c>
    </row>
    <row r="688" spans="1:4" x14ac:dyDescent="0.35">
      <c r="A688">
        <v>10911</v>
      </c>
      <c r="B688">
        <v>30</v>
      </c>
      <c r="C688" s="1">
        <v>71981.2</v>
      </c>
      <c r="D688">
        <v>687</v>
      </c>
    </row>
    <row r="689" spans="1:4" x14ac:dyDescent="0.35">
      <c r="A689">
        <v>10237</v>
      </c>
      <c r="B689">
        <v>28</v>
      </c>
      <c r="C689" s="1">
        <v>71846.78</v>
      </c>
      <c r="D689">
        <v>688</v>
      </c>
    </row>
    <row r="690" spans="1:4" x14ac:dyDescent="0.35">
      <c r="A690">
        <v>10220</v>
      </c>
      <c r="B690">
        <v>29</v>
      </c>
      <c r="C690" s="1">
        <v>71825.070000000007</v>
      </c>
      <c r="D690">
        <v>689</v>
      </c>
    </row>
    <row r="691" spans="1:4" x14ac:dyDescent="0.35">
      <c r="A691">
        <v>10507</v>
      </c>
      <c r="B691">
        <v>26</v>
      </c>
      <c r="C691" s="1">
        <v>71619.33</v>
      </c>
      <c r="D691">
        <v>690</v>
      </c>
    </row>
    <row r="692" spans="1:4" x14ac:dyDescent="0.35">
      <c r="A692">
        <v>10186</v>
      </c>
      <c r="B692">
        <v>28</v>
      </c>
      <c r="C692" s="1">
        <v>71594.69</v>
      </c>
      <c r="D692">
        <v>691</v>
      </c>
    </row>
    <row r="693" spans="1:4" x14ac:dyDescent="0.35">
      <c r="A693">
        <v>10206</v>
      </c>
      <c r="B693">
        <v>28</v>
      </c>
      <c r="C693" s="1">
        <v>71457.350000000006</v>
      </c>
      <c r="D693">
        <v>692</v>
      </c>
    </row>
    <row r="694" spans="1:4" x14ac:dyDescent="0.35">
      <c r="A694">
        <v>11034</v>
      </c>
      <c r="B694">
        <v>29</v>
      </c>
      <c r="C694" s="1">
        <v>71285.19</v>
      </c>
      <c r="D694">
        <v>693</v>
      </c>
    </row>
    <row r="695" spans="1:4" x14ac:dyDescent="0.35">
      <c r="A695">
        <v>10382</v>
      </c>
      <c r="B695">
        <v>32</v>
      </c>
      <c r="C695" s="1">
        <v>71193.289999999994</v>
      </c>
      <c r="D695">
        <v>694</v>
      </c>
    </row>
    <row r="696" spans="1:4" x14ac:dyDescent="0.35">
      <c r="A696">
        <v>10600</v>
      </c>
      <c r="B696">
        <v>28</v>
      </c>
      <c r="C696" s="1">
        <v>71114.559999999998</v>
      </c>
      <c r="D696">
        <v>695</v>
      </c>
    </row>
    <row r="697" spans="1:4" x14ac:dyDescent="0.35">
      <c r="A697">
        <v>10967</v>
      </c>
      <c r="B697">
        <v>28</v>
      </c>
      <c r="C697" s="1">
        <v>70983.47</v>
      </c>
      <c r="D697">
        <v>696</v>
      </c>
    </row>
    <row r="698" spans="1:4" x14ac:dyDescent="0.35">
      <c r="A698">
        <v>10618</v>
      </c>
      <c r="B698">
        <v>30</v>
      </c>
      <c r="C698" s="1">
        <v>70966.39</v>
      </c>
      <c r="D698">
        <v>697</v>
      </c>
    </row>
    <row r="699" spans="1:4" x14ac:dyDescent="0.35">
      <c r="A699">
        <v>10447</v>
      </c>
      <c r="B699">
        <v>30</v>
      </c>
      <c r="C699" s="1">
        <v>70776.63</v>
      </c>
      <c r="D699">
        <v>698</v>
      </c>
    </row>
    <row r="700" spans="1:4" x14ac:dyDescent="0.35">
      <c r="A700">
        <v>10145</v>
      </c>
      <c r="B700">
        <v>30</v>
      </c>
      <c r="C700" s="1">
        <v>70738.289999999994</v>
      </c>
      <c r="D700">
        <v>699</v>
      </c>
    </row>
    <row r="701" spans="1:4" x14ac:dyDescent="0.35">
      <c r="A701">
        <v>10514</v>
      </c>
      <c r="B701">
        <v>28</v>
      </c>
      <c r="C701" s="1">
        <v>70681.52</v>
      </c>
      <c r="D701">
        <v>700</v>
      </c>
    </row>
    <row r="702" spans="1:4" x14ac:dyDescent="0.35">
      <c r="A702">
        <v>10044</v>
      </c>
      <c r="B702">
        <v>29</v>
      </c>
      <c r="C702" s="1">
        <v>70641.55</v>
      </c>
      <c r="D702">
        <v>701</v>
      </c>
    </row>
    <row r="703" spans="1:4" x14ac:dyDescent="0.35">
      <c r="A703">
        <v>10228</v>
      </c>
      <c r="B703">
        <v>30</v>
      </c>
      <c r="C703" s="1">
        <v>70620.62</v>
      </c>
      <c r="D703">
        <v>702</v>
      </c>
    </row>
    <row r="704" spans="1:4" x14ac:dyDescent="0.35">
      <c r="A704">
        <v>10968</v>
      </c>
      <c r="B704">
        <v>27</v>
      </c>
      <c r="C704" s="1">
        <v>70530.25</v>
      </c>
      <c r="D704">
        <v>703</v>
      </c>
    </row>
    <row r="705" spans="1:4" x14ac:dyDescent="0.35">
      <c r="A705">
        <v>10012</v>
      </c>
      <c r="B705">
        <v>28</v>
      </c>
      <c r="C705" s="1">
        <v>70462.8</v>
      </c>
      <c r="D705">
        <v>704</v>
      </c>
    </row>
    <row r="706" spans="1:4" x14ac:dyDescent="0.35">
      <c r="A706">
        <v>10394</v>
      </c>
      <c r="B706">
        <v>27</v>
      </c>
      <c r="C706" s="1">
        <v>70337.3</v>
      </c>
      <c r="D706">
        <v>705</v>
      </c>
    </row>
    <row r="707" spans="1:4" x14ac:dyDescent="0.35">
      <c r="A707">
        <v>10985</v>
      </c>
      <c r="B707">
        <v>29</v>
      </c>
      <c r="C707" s="1">
        <v>70092.259999999995</v>
      </c>
      <c r="D707">
        <v>706</v>
      </c>
    </row>
    <row r="708" spans="1:4" x14ac:dyDescent="0.35">
      <c r="A708">
        <v>10768</v>
      </c>
      <c r="B708">
        <v>27</v>
      </c>
      <c r="C708" s="1">
        <v>70020.92</v>
      </c>
      <c r="D708">
        <v>707</v>
      </c>
    </row>
    <row r="709" spans="1:4" x14ac:dyDescent="0.35">
      <c r="A709">
        <v>10922</v>
      </c>
      <c r="B709">
        <v>29</v>
      </c>
      <c r="C709" s="1">
        <v>69985.88</v>
      </c>
      <c r="D709">
        <v>708</v>
      </c>
    </row>
    <row r="710" spans="1:4" x14ac:dyDescent="0.35">
      <c r="A710">
        <v>10771</v>
      </c>
      <c r="B710">
        <v>27</v>
      </c>
      <c r="C710" s="1">
        <v>69792.75</v>
      </c>
      <c r="D710">
        <v>709</v>
      </c>
    </row>
    <row r="711" spans="1:4" x14ac:dyDescent="0.35">
      <c r="A711">
        <v>10146</v>
      </c>
      <c r="B711">
        <v>26</v>
      </c>
      <c r="C711" s="1">
        <v>69756.66</v>
      </c>
      <c r="D711">
        <v>710</v>
      </c>
    </row>
    <row r="712" spans="1:4" x14ac:dyDescent="0.35">
      <c r="A712">
        <v>10078</v>
      </c>
      <c r="B712">
        <v>28</v>
      </c>
      <c r="C712" s="1">
        <v>69584.820000000007</v>
      </c>
      <c r="D712">
        <v>711</v>
      </c>
    </row>
    <row r="713" spans="1:4" x14ac:dyDescent="0.35">
      <c r="A713">
        <v>10962</v>
      </c>
      <c r="B713">
        <v>30</v>
      </c>
      <c r="C713" s="1">
        <v>69571.67</v>
      </c>
      <c r="D713">
        <v>712</v>
      </c>
    </row>
    <row r="714" spans="1:4" x14ac:dyDescent="0.35">
      <c r="A714">
        <v>10877</v>
      </c>
      <c r="B714">
        <v>26</v>
      </c>
      <c r="C714" s="1">
        <v>69553.27</v>
      </c>
      <c r="D714">
        <v>713</v>
      </c>
    </row>
    <row r="715" spans="1:4" x14ac:dyDescent="0.35">
      <c r="A715">
        <v>10328</v>
      </c>
      <c r="B715">
        <v>34</v>
      </c>
      <c r="C715" s="1">
        <v>69437.899999999994</v>
      </c>
      <c r="D715">
        <v>714</v>
      </c>
    </row>
    <row r="716" spans="1:4" x14ac:dyDescent="0.35">
      <c r="A716">
        <v>10087</v>
      </c>
      <c r="B716">
        <v>28</v>
      </c>
      <c r="C716" s="1">
        <v>69435.649999999994</v>
      </c>
      <c r="D716">
        <v>715</v>
      </c>
    </row>
    <row r="717" spans="1:4" x14ac:dyDescent="0.35">
      <c r="A717">
        <v>10111</v>
      </c>
      <c r="B717">
        <v>28</v>
      </c>
      <c r="C717" s="1">
        <v>69392.570000000007</v>
      </c>
      <c r="D717">
        <v>716</v>
      </c>
    </row>
    <row r="718" spans="1:4" x14ac:dyDescent="0.35">
      <c r="A718">
        <v>11023</v>
      </c>
      <c r="B718">
        <v>31</v>
      </c>
      <c r="C718" s="1">
        <v>69388.800000000003</v>
      </c>
      <c r="D718">
        <v>717</v>
      </c>
    </row>
    <row r="719" spans="1:4" x14ac:dyDescent="0.35">
      <c r="A719">
        <v>10811</v>
      </c>
      <c r="B719">
        <v>26</v>
      </c>
      <c r="C719" s="1">
        <v>69321.95</v>
      </c>
      <c r="D719">
        <v>718</v>
      </c>
    </row>
    <row r="720" spans="1:4" x14ac:dyDescent="0.35">
      <c r="A720">
        <v>10633</v>
      </c>
      <c r="B720">
        <v>35</v>
      </c>
      <c r="C720" s="1">
        <v>68974.66</v>
      </c>
      <c r="D720">
        <v>719</v>
      </c>
    </row>
    <row r="721" spans="1:4" x14ac:dyDescent="0.35">
      <c r="A721">
        <v>11021</v>
      </c>
      <c r="B721">
        <v>25</v>
      </c>
      <c r="C721" s="1">
        <v>68934.3</v>
      </c>
      <c r="D721">
        <v>720</v>
      </c>
    </row>
    <row r="722" spans="1:4" x14ac:dyDescent="0.35">
      <c r="A722">
        <v>10713</v>
      </c>
      <c r="B722">
        <v>35</v>
      </c>
      <c r="C722" s="1">
        <v>68923.88</v>
      </c>
      <c r="D722">
        <v>721</v>
      </c>
    </row>
    <row r="723" spans="1:4" x14ac:dyDescent="0.35">
      <c r="A723">
        <v>10196</v>
      </c>
      <c r="B723">
        <v>25</v>
      </c>
      <c r="C723" s="1">
        <v>68735.41</v>
      </c>
      <c r="D723">
        <v>722</v>
      </c>
    </row>
    <row r="724" spans="1:4" x14ac:dyDescent="0.35">
      <c r="A724">
        <v>10088</v>
      </c>
      <c r="B724">
        <v>30</v>
      </c>
      <c r="C724" s="1">
        <v>68546.149999999994</v>
      </c>
      <c r="D724">
        <v>723</v>
      </c>
    </row>
    <row r="725" spans="1:4" x14ac:dyDescent="0.35">
      <c r="A725">
        <v>10869</v>
      </c>
      <c r="B725">
        <v>35</v>
      </c>
      <c r="C725" s="1">
        <v>68510.03</v>
      </c>
      <c r="D725">
        <v>724</v>
      </c>
    </row>
    <row r="726" spans="1:4" x14ac:dyDescent="0.35">
      <c r="A726">
        <v>10889</v>
      </c>
      <c r="B726">
        <v>28</v>
      </c>
      <c r="C726" s="1">
        <v>68495.839999999997</v>
      </c>
      <c r="D726">
        <v>725</v>
      </c>
    </row>
    <row r="727" spans="1:4" x14ac:dyDescent="0.35">
      <c r="A727">
        <v>10789</v>
      </c>
      <c r="B727">
        <v>31</v>
      </c>
      <c r="C727" s="1">
        <v>68359.649999999994</v>
      </c>
      <c r="D727">
        <v>726</v>
      </c>
    </row>
    <row r="728" spans="1:4" x14ac:dyDescent="0.35">
      <c r="A728">
        <v>11063</v>
      </c>
      <c r="B728">
        <v>25</v>
      </c>
      <c r="C728" s="1">
        <v>68142.34</v>
      </c>
      <c r="D728">
        <v>727</v>
      </c>
    </row>
    <row r="729" spans="1:4" x14ac:dyDescent="0.35">
      <c r="A729">
        <v>10647</v>
      </c>
      <c r="B729">
        <v>27</v>
      </c>
      <c r="C729" s="1">
        <v>67984.679999999993</v>
      </c>
      <c r="D729">
        <v>728</v>
      </c>
    </row>
    <row r="730" spans="1:4" x14ac:dyDescent="0.35">
      <c r="A730">
        <v>10432</v>
      </c>
      <c r="B730">
        <v>27</v>
      </c>
      <c r="C730" s="1">
        <v>67978.92</v>
      </c>
      <c r="D730">
        <v>729</v>
      </c>
    </row>
    <row r="731" spans="1:4" x14ac:dyDescent="0.35">
      <c r="A731">
        <v>11040</v>
      </c>
      <c r="B731">
        <v>31</v>
      </c>
      <c r="C731" s="1">
        <v>67772.66</v>
      </c>
      <c r="D731">
        <v>730</v>
      </c>
    </row>
    <row r="732" spans="1:4" x14ac:dyDescent="0.35">
      <c r="A732">
        <v>10505</v>
      </c>
      <c r="B732">
        <v>26</v>
      </c>
      <c r="C732" s="1">
        <v>67730.929999999993</v>
      </c>
      <c r="D732">
        <v>731</v>
      </c>
    </row>
    <row r="733" spans="1:4" x14ac:dyDescent="0.35">
      <c r="A733">
        <v>10712</v>
      </c>
      <c r="B733">
        <v>28</v>
      </c>
      <c r="C733" s="1">
        <v>67566.789999999994</v>
      </c>
      <c r="D733">
        <v>732</v>
      </c>
    </row>
    <row r="734" spans="1:4" x14ac:dyDescent="0.35">
      <c r="A734">
        <v>10360</v>
      </c>
      <c r="B734">
        <v>22</v>
      </c>
      <c r="C734" s="1">
        <v>67134.16</v>
      </c>
      <c r="D734">
        <v>733</v>
      </c>
    </row>
    <row r="735" spans="1:4" x14ac:dyDescent="0.35">
      <c r="A735">
        <v>10625</v>
      </c>
      <c r="B735">
        <v>28</v>
      </c>
      <c r="C735" s="1">
        <v>67107.429999999993</v>
      </c>
      <c r="D735">
        <v>734</v>
      </c>
    </row>
    <row r="736" spans="1:4" x14ac:dyDescent="0.35">
      <c r="A736">
        <v>10104</v>
      </c>
      <c r="B736">
        <v>27</v>
      </c>
      <c r="C736" s="1">
        <v>67071.38</v>
      </c>
      <c r="D736">
        <v>735</v>
      </c>
    </row>
    <row r="737" spans="1:4" x14ac:dyDescent="0.35">
      <c r="A737">
        <v>10051</v>
      </c>
      <c r="B737">
        <v>21</v>
      </c>
      <c r="C737" s="1">
        <v>67068.759999999995</v>
      </c>
      <c r="D737">
        <v>736</v>
      </c>
    </row>
    <row r="738" spans="1:4" x14ac:dyDescent="0.35">
      <c r="A738">
        <v>10995</v>
      </c>
      <c r="B738">
        <v>30</v>
      </c>
      <c r="C738" s="1">
        <v>67003.86</v>
      </c>
      <c r="D738">
        <v>737</v>
      </c>
    </row>
    <row r="739" spans="1:4" x14ac:dyDescent="0.35">
      <c r="A739">
        <v>10928</v>
      </c>
      <c r="B739">
        <v>30</v>
      </c>
      <c r="C739" s="1">
        <v>66849.960000000006</v>
      </c>
      <c r="D739">
        <v>738</v>
      </c>
    </row>
    <row r="740" spans="1:4" x14ac:dyDescent="0.35">
      <c r="A740">
        <v>10945</v>
      </c>
      <c r="B740">
        <v>32</v>
      </c>
      <c r="C740" s="1">
        <v>66782.17</v>
      </c>
      <c r="D740">
        <v>739</v>
      </c>
    </row>
    <row r="741" spans="1:4" x14ac:dyDescent="0.35">
      <c r="A741">
        <v>10251</v>
      </c>
      <c r="B741">
        <v>29</v>
      </c>
      <c r="C741" s="1">
        <v>66774.03</v>
      </c>
      <c r="D741">
        <v>740</v>
      </c>
    </row>
    <row r="742" spans="1:4" x14ac:dyDescent="0.35">
      <c r="A742">
        <v>10755</v>
      </c>
      <c r="B742">
        <v>30</v>
      </c>
      <c r="C742" s="1">
        <v>66489.509999999995</v>
      </c>
      <c r="D742">
        <v>741</v>
      </c>
    </row>
    <row r="743" spans="1:4" x14ac:dyDescent="0.35">
      <c r="A743">
        <v>10657</v>
      </c>
      <c r="B743">
        <v>24</v>
      </c>
      <c r="C743" s="1">
        <v>66486.710000000006</v>
      </c>
      <c r="D743">
        <v>742</v>
      </c>
    </row>
    <row r="744" spans="1:4" x14ac:dyDescent="0.35">
      <c r="A744">
        <v>10735</v>
      </c>
      <c r="B744">
        <v>30</v>
      </c>
      <c r="C744" s="1">
        <v>66364.77</v>
      </c>
      <c r="D744">
        <v>743</v>
      </c>
    </row>
    <row r="745" spans="1:4" x14ac:dyDescent="0.35">
      <c r="A745">
        <v>10926</v>
      </c>
      <c r="B745">
        <v>30</v>
      </c>
      <c r="C745" s="1">
        <v>66274.2</v>
      </c>
      <c r="D745">
        <v>744</v>
      </c>
    </row>
    <row r="746" spans="1:4" x14ac:dyDescent="0.35">
      <c r="A746">
        <v>10823</v>
      </c>
      <c r="B746">
        <v>27</v>
      </c>
      <c r="C746" s="1">
        <v>66176.179999999993</v>
      </c>
      <c r="D746">
        <v>745</v>
      </c>
    </row>
    <row r="747" spans="1:4" x14ac:dyDescent="0.35">
      <c r="A747">
        <v>10698</v>
      </c>
      <c r="B747">
        <v>31</v>
      </c>
      <c r="C747" s="1">
        <v>66068.479999999996</v>
      </c>
      <c r="D747">
        <v>746</v>
      </c>
    </row>
    <row r="748" spans="1:4" x14ac:dyDescent="0.35">
      <c r="A748">
        <v>10242</v>
      </c>
      <c r="B748">
        <v>26</v>
      </c>
      <c r="C748" s="1">
        <v>65923.5</v>
      </c>
      <c r="D748">
        <v>747</v>
      </c>
    </row>
    <row r="749" spans="1:4" x14ac:dyDescent="0.35">
      <c r="A749">
        <v>10356</v>
      </c>
      <c r="B749">
        <v>30</v>
      </c>
      <c r="C749" s="1">
        <v>65705.72</v>
      </c>
      <c r="D749">
        <v>748</v>
      </c>
    </row>
    <row r="750" spans="1:4" x14ac:dyDescent="0.35">
      <c r="A750">
        <v>10301</v>
      </c>
      <c r="B750">
        <v>25</v>
      </c>
      <c r="C750" s="1">
        <v>65594.02</v>
      </c>
      <c r="D750">
        <v>749</v>
      </c>
    </row>
    <row r="751" spans="1:4" x14ac:dyDescent="0.35">
      <c r="A751">
        <v>10656</v>
      </c>
      <c r="B751">
        <v>30</v>
      </c>
      <c r="C751" s="1">
        <v>65567.66</v>
      </c>
      <c r="D751">
        <v>750</v>
      </c>
    </row>
    <row r="752" spans="1:4" x14ac:dyDescent="0.35">
      <c r="A752">
        <v>10421</v>
      </c>
      <c r="B752">
        <v>25</v>
      </c>
      <c r="C752" s="1">
        <v>65499.77</v>
      </c>
      <c r="D752">
        <v>751</v>
      </c>
    </row>
    <row r="753" spans="1:4" x14ac:dyDescent="0.35">
      <c r="A753">
        <v>10124</v>
      </c>
      <c r="B753">
        <v>28</v>
      </c>
      <c r="C753" s="1">
        <v>65329.81</v>
      </c>
      <c r="D753">
        <v>752</v>
      </c>
    </row>
    <row r="754" spans="1:4" x14ac:dyDescent="0.35">
      <c r="A754">
        <v>10555</v>
      </c>
      <c r="B754">
        <v>28</v>
      </c>
      <c r="C754" s="1">
        <v>65151.95</v>
      </c>
      <c r="D754">
        <v>753</v>
      </c>
    </row>
    <row r="755" spans="1:4" x14ac:dyDescent="0.35">
      <c r="A755">
        <v>10350</v>
      </c>
      <c r="B755">
        <v>23</v>
      </c>
      <c r="C755" s="1">
        <v>64905.22</v>
      </c>
      <c r="D755">
        <v>754</v>
      </c>
    </row>
    <row r="756" spans="1:4" x14ac:dyDescent="0.35">
      <c r="A756">
        <v>10405</v>
      </c>
      <c r="B756">
        <v>25</v>
      </c>
      <c r="C756" s="1">
        <v>64699.88</v>
      </c>
      <c r="D756">
        <v>755</v>
      </c>
    </row>
    <row r="757" spans="1:4" x14ac:dyDescent="0.35">
      <c r="A757">
        <v>10055</v>
      </c>
      <c r="B757">
        <v>25</v>
      </c>
      <c r="C757" s="1">
        <v>64653.23</v>
      </c>
      <c r="D757">
        <v>756</v>
      </c>
    </row>
    <row r="758" spans="1:4" x14ac:dyDescent="0.35">
      <c r="A758">
        <v>10601</v>
      </c>
      <c r="B758">
        <v>27</v>
      </c>
      <c r="C758" s="1">
        <v>64546.47</v>
      </c>
      <c r="D758">
        <v>757</v>
      </c>
    </row>
    <row r="759" spans="1:4" x14ac:dyDescent="0.35">
      <c r="A759">
        <v>10554</v>
      </c>
      <c r="B759">
        <v>26</v>
      </c>
      <c r="C759" s="1">
        <v>64475.48</v>
      </c>
      <c r="D759">
        <v>758</v>
      </c>
    </row>
    <row r="760" spans="1:4" x14ac:dyDescent="0.35">
      <c r="A760">
        <v>10355</v>
      </c>
      <c r="B760">
        <v>28</v>
      </c>
      <c r="C760" s="1">
        <v>64436.59</v>
      </c>
      <c r="D760">
        <v>759</v>
      </c>
    </row>
    <row r="761" spans="1:4" x14ac:dyDescent="0.35">
      <c r="A761">
        <v>10812</v>
      </c>
      <c r="B761">
        <v>27</v>
      </c>
      <c r="C761" s="1">
        <v>64423.02</v>
      </c>
      <c r="D761">
        <v>760</v>
      </c>
    </row>
    <row r="762" spans="1:4" x14ac:dyDescent="0.35">
      <c r="A762">
        <v>10769</v>
      </c>
      <c r="B762">
        <v>27</v>
      </c>
      <c r="C762" s="1">
        <v>64050.67</v>
      </c>
      <c r="D762">
        <v>761</v>
      </c>
    </row>
    <row r="763" spans="1:4" x14ac:dyDescent="0.35">
      <c r="A763">
        <v>10269</v>
      </c>
      <c r="B763">
        <v>25</v>
      </c>
      <c r="C763" s="1">
        <v>64008.11</v>
      </c>
      <c r="D763">
        <v>762</v>
      </c>
    </row>
    <row r="764" spans="1:4" x14ac:dyDescent="0.35">
      <c r="A764">
        <v>10801</v>
      </c>
      <c r="B764">
        <v>24</v>
      </c>
      <c r="C764" s="1">
        <v>63750.82</v>
      </c>
      <c r="D764">
        <v>763</v>
      </c>
    </row>
    <row r="765" spans="1:4" x14ac:dyDescent="0.35">
      <c r="A765">
        <v>10247</v>
      </c>
      <c r="B765">
        <v>24</v>
      </c>
      <c r="C765" s="1">
        <v>63633.27</v>
      </c>
      <c r="D765">
        <v>764</v>
      </c>
    </row>
    <row r="766" spans="1:4" x14ac:dyDescent="0.35">
      <c r="A766">
        <v>10467</v>
      </c>
      <c r="B766">
        <v>23</v>
      </c>
      <c r="C766" s="1">
        <v>63510.34</v>
      </c>
      <c r="D766">
        <v>765</v>
      </c>
    </row>
    <row r="767" spans="1:4" x14ac:dyDescent="0.35">
      <c r="A767">
        <v>10572</v>
      </c>
      <c r="B767">
        <v>23</v>
      </c>
      <c r="C767" s="1">
        <v>63439.44</v>
      </c>
      <c r="D767">
        <v>766</v>
      </c>
    </row>
    <row r="768" spans="1:4" x14ac:dyDescent="0.35">
      <c r="A768">
        <v>10202</v>
      </c>
      <c r="B768">
        <v>29</v>
      </c>
      <c r="C768" s="1">
        <v>63253.99</v>
      </c>
      <c r="D768">
        <v>767</v>
      </c>
    </row>
    <row r="769" spans="1:4" x14ac:dyDescent="0.35">
      <c r="A769">
        <v>10152</v>
      </c>
      <c r="B769">
        <v>26</v>
      </c>
      <c r="C769" s="1">
        <v>63209.66</v>
      </c>
      <c r="D769">
        <v>768</v>
      </c>
    </row>
    <row r="770" spans="1:4" x14ac:dyDescent="0.35">
      <c r="A770">
        <v>10033</v>
      </c>
      <c r="B770">
        <v>25</v>
      </c>
      <c r="C770" s="1">
        <v>63207.360000000001</v>
      </c>
      <c r="D770">
        <v>769</v>
      </c>
    </row>
    <row r="771" spans="1:4" x14ac:dyDescent="0.35">
      <c r="A771">
        <v>10254</v>
      </c>
      <c r="B771">
        <v>23</v>
      </c>
      <c r="C771" s="1">
        <v>62939.1</v>
      </c>
      <c r="D771">
        <v>770</v>
      </c>
    </row>
    <row r="772" spans="1:4" x14ac:dyDescent="0.35">
      <c r="A772">
        <v>10577</v>
      </c>
      <c r="B772">
        <v>30</v>
      </c>
      <c r="C772" s="1">
        <v>62768.800000000003</v>
      </c>
      <c r="D772">
        <v>771</v>
      </c>
    </row>
    <row r="773" spans="1:4" x14ac:dyDescent="0.35">
      <c r="A773">
        <v>10289</v>
      </c>
      <c r="B773">
        <v>25</v>
      </c>
      <c r="C773" s="1">
        <v>62385.15</v>
      </c>
      <c r="D773">
        <v>772</v>
      </c>
    </row>
    <row r="774" spans="1:4" x14ac:dyDescent="0.35">
      <c r="A774">
        <v>10587</v>
      </c>
      <c r="B774">
        <v>28</v>
      </c>
      <c r="C774" s="1">
        <v>62028.73</v>
      </c>
      <c r="D774">
        <v>773</v>
      </c>
    </row>
    <row r="775" spans="1:4" x14ac:dyDescent="0.35">
      <c r="A775">
        <v>10456</v>
      </c>
      <c r="B775">
        <v>27</v>
      </c>
      <c r="C775" s="1">
        <v>62027.88</v>
      </c>
      <c r="D775">
        <v>774</v>
      </c>
    </row>
    <row r="776" spans="1:4" x14ac:dyDescent="0.35">
      <c r="A776">
        <v>10305</v>
      </c>
      <c r="B776">
        <v>28</v>
      </c>
      <c r="C776" s="1">
        <v>62025.61</v>
      </c>
      <c r="D776">
        <v>775</v>
      </c>
    </row>
    <row r="777" spans="1:4" x14ac:dyDescent="0.35">
      <c r="A777">
        <v>10654</v>
      </c>
      <c r="B777">
        <v>30</v>
      </c>
      <c r="C777" s="1">
        <v>61641.2</v>
      </c>
      <c r="D777">
        <v>776</v>
      </c>
    </row>
    <row r="778" spans="1:4" x14ac:dyDescent="0.35">
      <c r="A778">
        <v>10483</v>
      </c>
      <c r="B778">
        <v>24</v>
      </c>
      <c r="C778" s="1">
        <v>61608.99</v>
      </c>
      <c r="D778">
        <v>777</v>
      </c>
    </row>
    <row r="779" spans="1:4" x14ac:dyDescent="0.35">
      <c r="A779">
        <v>11067</v>
      </c>
      <c r="B779">
        <v>24</v>
      </c>
      <c r="C779" s="1">
        <v>61595.68</v>
      </c>
      <c r="D779">
        <v>778</v>
      </c>
    </row>
    <row r="780" spans="1:4" x14ac:dyDescent="0.35">
      <c r="A780">
        <v>10400</v>
      </c>
      <c r="B780">
        <v>28</v>
      </c>
      <c r="C780" s="1">
        <v>61435.040000000001</v>
      </c>
      <c r="D780">
        <v>779</v>
      </c>
    </row>
    <row r="781" spans="1:4" x14ac:dyDescent="0.35">
      <c r="A781">
        <v>11031</v>
      </c>
      <c r="B781">
        <v>24</v>
      </c>
      <c r="C781" s="1">
        <v>61359.83</v>
      </c>
      <c r="D781">
        <v>780</v>
      </c>
    </row>
    <row r="782" spans="1:4" x14ac:dyDescent="0.35">
      <c r="A782">
        <v>10539</v>
      </c>
      <c r="B782">
        <v>24</v>
      </c>
      <c r="C782" s="1">
        <v>61321.51</v>
      </c>
      <c r="D782">
        <v>781</v>
      </c>
    </row>
    <row r="783" spans="1:4" x14ac:dyDescent="0.35">
      <c r="A783">
        <v>10115</v>
      </c>
      <c r="B783">
        <v>29</v>
      </c>
      <c r="C783" s="1">
        <v>61299.519999999997</v>
      </c>
      <c r="D783">
        <v>782</v>
      </c>
    </row>
    <row r="784" spans="1:4" x14ac:dyDescent="0.35">
      <c r="A784">
        <v>10080</v>
      </c>
      <c r="B784">
        <v>25</v>
      </c>
      <c r="C784" s="1">
        <v>61267.24</v>
      </c>
      <c r="D784">
        <v>783</v>
      </c>
    </row>
    <row r="785" spans="1:4" x14ac:dyDescent="0.35">
      <c r="A785">
        <v>10815</v>
      </c>
      <c r="B785">
        <v>23</v>
      </c>
      <c r="C785" s="1">
        <v>61214.23</v>
      </c>
      <c r="D785">
        <v>784</v>
      </c>
    </row>
    <row r="786" spans="1:4" x14ac:dyDescent="0.35">
      <c r="A786">
        <v>10212</v>
      </c>
      <c r="B786">
        <v>27</v>
      </c>
      <c r="C786" s="1">
        <v>61186.97</v>
      </c>
      <c r="D786">
        <v>785</v>
      </c>
    </row>
    <row r="787" spans="1:4" x14ac:dyDescent="0.35">
      <c r="A787">
        <v>10166</v>
      </c>
      <c r="B787">
        <v>27</v>
      </c>
      <c r="C787" s="1">
        <v>61117.13</v>
      </c>
      <c r="D787">
        <v>786</v>
      </c>
    </row>
    <row r="788" spans="1:4" x14ac:dyDescent="0.35">
      <c r="A788">
        <v>11026</v>
      </c>
      <c r="B788">
        <v>27</v>
      </c>
      <c r="C788" s="1">
        <v>61089.18</v>
      </c>
      <c r="D788">
        <v>787</v>
      </c>
    </row>
    <row r="789" spans="1:4" x14ac:dyDescent="0.35">
      <c r="A789">
        <v>10173</v>
      </c>
      <c r="B789">
        <v>26</v>
      </c>
      <c r="C789" s="1">
        <v>60785.84</v>
      </c>
      <c r="D789">
        <v>788</v>
      </c>
    </row>
    <row r="790" spans="1:4" x14ac:dyDescent="0.35">
      <c r="A790">
        <v>10162</v>
      </c>
      <c r="B790">
        <v>20</v>
      </c>
      <c r="C790" s="1">
        <v>60684.03</v>
      </c>
      <c r="D790">
        <v>789</v>
      </c>
    </row>
    <row r="791" spans="1:4" x14ac:dyDescent="0.35">
      <c r="A791">
        <v>10364</v>
      </c>
      <c r="B791">
        <v>22</v>
      </c>
      <c r="C791" s="1">
        <v>60661.74</v>
      </c>
      <c r="D791">
        <v>790</v>
      </c>
    </row>
    <row r="792" spans="1:4" x14ac:dyDescent="0.35">
      <c r="A792">
        <v>10214</v>
      </c>
      <c r="B792">
        <v>26</v>
      </c>
      <c r="C792" s="1">
        <v>60497.63</v>
      </c>
      <c r="D792">
        <v>791</v>
      </c>
    </row>
    <row r="793" spans="1:4" x14ac:dyDescent="0.35">
      <c r="A793">
        <v>10613</v>
      </c>
      <c r="B793">
        <v>31</v>
      </c>
      <c r="C793" s="1">
        <v>60497.34</v>
      </c>
      <c r="D793">
        <v>792</v>
      </c>
    </row>
    <row r="794" spans="1:4" x14ac:dyDescent="0.35">
      <c r="A794">
        <v>10479</v>
      </c>
      <c r="B794">
        <v>24</v>
      </c>
      <c r="C794" s="1">
        <v>60321.32</v>
      </c>
      <c r="D794">
        <v>793</v>
      </c>
    </row>
    <row r="795" spans="1:4" x14ac:dyDescent="0.35">
      <c r="A795">
        <v>10038</v>
      </c>
      <c r="B795">
        <v>25</v>
      </c>
      <c r="C795" s="1">
        <v>60250.32</v>
      </c>
      <c r="D795">
        <v>794</v>
      </c>
    </row>
    <row r="796" spans="1:4" x14ac:dyDescent="0.35">
      <c r="A796">
        <v>10233</v>
      </c>
      <c r="B796">
        <v>25</v>
      </c>
      <c r="C796" s="1">
        <v>60207.519999999997</v>
      </c>
      <c r="D796">
        <v>795</v>
      </c>
    </row>
    <row r="797" spans="1:4" x14ac:dyDescent="0.35">
      <c r="A797">
        <v>10640</v>
      </c>
      <c r="B797">
        <v>28</v>
      </c>
      <c r="C797" s="1">
        <v>60193.36</v>
      </c>
      <c r="D797">
        <v>796</v>
      </c>
    </row>
    <row r="798" spans="1:4" x14ac:dyDescent="0.35">
      <c r="A798">
        <v>10065</v>
      </c>
      <c r="B798">
        <v>29</v>
      </c>
      <c r="C798" s="1">
        <v>60110.09</v>
      </c>
      <c r="D798">
        <v>797</v>
      </c>
    </row>
    <row r="799" spans="1:4" x14ac:dyDescent="0.35">
      <c r="A799">
        <v>10191</v>
      </c>
      <c r="B799">
        <v>24</v>
      </c>
      <c r="C799" s="1">
        <v>59973.48</v>
      </c>
      <c r="D799">
        <v>798</v>
      </c>
    </row>
    <row r="800" spans="1:4" x14ac:dyDescent="0.35">
      <c r="A800">
        <v>10239</v>
      </c>
      <c r="B800">
        <v>25</v>
      </c>
      <c r="C800" s="1">
        <v>59618.54</v>
      </c>
      <c r="D800">
        <v>799</v>
      </c>
    </row>
    <row r="801" spans="1:4" x14ac:dyDescent="0.35">
      <c r="A801">
        <v>10249</v>
      </c>
      <c r="B801">
        <v>24</v>
      </c>
      <c r="C801" s="1">
        <v>59542.71</v>
      </c>
      <c r="D801">
        <v>800</v>
      </c>
    </row>
    <row r="802" spans="1:4" x14ac:dyDescent="0.35">
      <c r="A802">
        <v>10886</v>
      </c>
      <c r="B802">
        <v>25</v>
      </c>
      <c r="C802" s="1">
        <v>59381.760000000002</v>
      </c>
      <c r="D802">
        <v>801</v>
      </c>
    </row>
    <row r="803" spans="1:4" x14ac:dyDescent="0.35">
      <c r="A803">
        <v>10252</v>
      </c>
      <c r="B803">
        <v>22</v>
      </c>
      <c r="C803" s="1">
        <v>59007.68</v>
      </c>
      <c r="D803">
        <v>802</v>
      </c>
    </row>
    <row r="804" spans="1:4" x14ac:dyDescent="0.35">
      <c r="A804">
        <v>11085</v>
      </c>
      <c r="B804">
        <v>25</v>
      </c>
      <c r="C804" s="1">
        <v>58910.14</v>
      </c>
      <c r="D804">
        <v>803</v>
      </c>
    </row>
    <row r="805" spans="1:4" x14ac:dyDescent="0.35">
      <c r="A805">
        <v>10683</v>
      </c>
      <c r="B805">
        <v>26</v>
      </c>
      <c r="C805" s="1">
        <v>58678.83</v>
      </c>
      <c r="D805">
        <v>804</v>
      </c>
    </row>
    <row r="806" spans="1:4" x14ac:dyDescent="0.35">
      <c r="A806">
        <v>10268</v>
      </c>
      <c r="B806">
        <v>27</v>
      </c>
      <c r="C806" s="1">
        <v>58605.65</v>
      </c>
      <c r="D806">
        <v>805</v>
      </c>
    </row>
    <row r="807" spans="1:4" x14ac:dyDescent="0.35">
      <c r="A807">
        <v>10314</v>
      </c>
      <c r="B807">
        <v>28</v>
      </c>
      <c r="C807" s="1">
        <v>58575.14</v>
      </c>
      <c r="D807">
        <v>806</v>
      </c>
    </row>
    <row r="808" spans="1:4" x14ac:dyDescent="0.35">
      <c r="A808">
        <v>10052</v>
      </c>
      <c r="B808">
        <v>21</v>
      </c>
      <c r="C808" s="1">
        <v>58535.75</v>
      </c>
      <c r="D808">
        <v>807</v>
      </c>
    </row>
    <row r="809" spans="1:4" x14ac:dyDescent="0.35">
      <c r="A809">
        <v>10689</v>
      </c>
      <c r="B809">
        <v>21</v>
      </c>
      <c r="C809" s="1">
        <v>58350.42</v>
      </c>
      <c r="D809">
        <v>808</v>
      </c>
    </row>
    <row r="810" spans="1:4" x14ac:dyDescent="0.35">
      <c r="A810">
        <v>10648</v>
      </c>
      <c r="B810">
        <v>27</v>
      </c>
      <c r="C810" s="1">
        <v>58321.49</v>
      </c>
      <c r="D810">
        <v>809</v>
      </c>
    </row>
    <row r="811" spans="1:4" x14ac:dyDescent="0.35">
      <c r="A811">
        <v>10371</v>
      </c>
      <c r="B811">
        <v>24</v>
      </c>
      <c r="C811" s="1">
        <v>58145.24</v>
      </c>
      <c r="D811">
        <v>810</v>
      </c>
    </row>
    <row r="812" spans="1:4" x14ac:dyDescent="0.35">
      <c r="A812">
        <v>10756</v>
      </c>
      <c r="B812">
        <v>24</v>
      </c>
      <c r="C812" s="1">
        <v>58105</v>
      </c>
      <c r="D812">
        <v>811</v>
      </c>
    </row>
    <row r="813" spans="1:4" x14ac:dyDescent="0.35">
      <c r="A813">
        <v>10626</v>
      </c>
      <c r="B813">
        <v>25</v>
      </c>
      <c r="C813" s="1">
        <v>58010.44</v>
      </c>
      <c r="D813">
        <v>812</v>
      </c>
    </row>
    <row r="814" spans="1:4" x14ac:dyDescent="0.35">
      <c r="A814">
        <v>11074</v>
      </c>
      <c r="B814">
        <v>27</v>
      </c>
      <c r="C814" s="1">
        <v>57854.26</v>
      </c>
      <c r="D814">
        <v>813</v>
      </c>
    </row>
    <row r="815" spans="1:4" x14ac:dyDescent="0.35">
      <c r="A815">
        <v>10987</v>
      </c>
      <c r="B815">
        <v>26</v>
      </c>
      <c r="C815" s="1">
        <v>56324.480000000003</v>
      </c>
      <c r="D815">
        <v>814</v>
      </c>
    </row>
    <row r="816" spans="1:4" x14ac:dyDescent="0.35">
      <c r="A816">
        <v>11093</v>
      </c>
      <c r="B816">
        <v>26</v>
      </c>
      <c r="C816" s="1">
        <v>56061.58</v>
      </c>
      <c r="D816">
        <v>815</v>
      </c>
    </row>
    <row r="817" spans="1:4" x14ac:dyDescent="0.35">
      <c r="A817">
        <v>10450</v>
      </c>
      <c r="B817">
        <v>20</v>
      </c>
      <c r="C817" s="1">
        <v>55978</v>
      </c>
      <c r="D817">
        <v>816</v>
      </c>
    </row>
    <row r="818" spans="1:4" x14ac:dyDescent="0.35">
      <c r="A818">
        <v>10527</v>
      </c>
      <c r="B818">
        <v>21</v>
      </c>
      <c r="C818" s="1">
        <v>55951.5</v>
      </c>
      <c r="D818">
        <v>817</v>
      </c>
    </row>
    <row r="819" spans="1:4" x14ac:dyDescent="0.35">
      <c r="A819">
        <v>10081</v>
      </c>
      <c r="B819">
        <v>24</v>
      </c>
      <c r="C819" s="1">
        <v>55768.49</v>
      </c>
      <c r="D819">
        <v>818</v>
      </c>
    </row>
    <row r="820" spans="1:4" x14ac:dyDescent="0.35">
      <c r="A820">
        <v>10190</v>
      </c>
      <c r="B820">
        <v>25</v>
      </c>
      <c r="C820" s="1">
        <v>55588.05</v>
      </c>
      <c r="D820">
        <v>819</v>
      </c>
    </row>
    <row r="821" spans="1:4" x14ac:dyDescent="0.35">
      <c r="A821">
        <v>10101</v>
      </c>
      <c r="B821">
        <v>22</v>
      </c>
      <c r="C821" s="1">
        <v>55495.48</v>
      </c>
      <c r="D821">
        <v>820</v>
      </c>
    </row>
    <row r="822" spans="1:4" x14ac:dyDescent="0.35">
      <c r="A822">
        <v>10291</v>
      </c>
      <c r="B822">
        <v>26</v>
      </c>
      <c r="C822" s="1">
        <v>55415.67</v>
      </c>
      <c r="D822">
        <v>821</v>
      </c>
    </row>
    <row r="823" spans="1:4" x14ac:dyDescent="0.35">
      <c r="A823">
        <v>10317</v>
      </c>
      <c r="B823">
        <v>24</v>
      </c>
      <c r="C823" s="1">
        <v>55171.63</v>
      </c>
      <c r="D823">
        <v>822</v>
      </c>
    </row>
    <row r="824" spans="1:4" x14ac:dyDescent="0.35">
      <c r="A824">
        <v>10871</v>
      </c>
      <c r="B824">
        <v>24</v>
      </c>
      <c r="C824" s="1">
        <v>55060.84</v>
      </c>
      <c r="D824">
        <v>823</v>
      </c>
    </row>
    <row r="825" spans="1:4" x14ac:dyDescent="0.35">
      <c r="A825">
        <v>11099</v>
      </c>
      <c r="B825">
        <v>25</v>
      </c>
      <c r="C825" s="1">
        <v>54721.440000000002</v>
      </c>
      <c r="D825">
        <v>824</v>
      </c>
    </row>
    <row r="826" spans="1:4" x14ac:dyDescent="0.35">
      <c r="A826">
        <v>10619</v>
      </c>
      <c r="B826">
        <v>22</v>
      </c>
      <c r="C826" s="1">
        <v>54620.9</v>
      </c>
      <c r="D826">
        <v>825</v>
      </c>
    </row>
    <row r="827" spans="1:4" x14ac:dyDescent="0.35">
      <c r="A827">
        <v>10120</v>
      </c>
      <c r="B827">
        <v>29</v>
      </c>
      <c r="C827" s="1">
        <v>54423.48</v>
      </c>
      <c r="D827">
        <v>826</v>
      </c>
    </row>
    <row r="828" spans="1:4" x14ac:dyDescent="0.35">
      <c r="A828">
        <v>10954</v>
      </c>
      <c r="B828">
        <v>22</v>
      </c>
      <c r="C828" s="1">
        <v>53945.69</v>
      </c>
      <c r="D828">
        <v>827</v>
      </c>
    </row>
    <row r="829" spans="1:4" x14ac:dyDescent="0.35">
      <c r="A829">
        <v>10665</v>
      </c>
      <c r="B829">
        <v>24</v>
      </c>
      <c r="C829" s="1">
        <v>53604.94</v>
      </c>
      <c r="D829">
        <v>828</v>
      </c>
    </row>
    <row r="830" spans="1:4" x14ac:dyDescent="0.35">
      <c r="A830">
        <v>10509</v>
      </c>
      <c r="B830">
        <v>24</v>
      </c>
      <c r="C830" s="1">
        <v>53579.44</v>
      </c>
      <c r="D830">
        <v>829</v>
      </c>
    </row>
    <row r="831" spans="1:4" x14ac:dyDescent="0.35">
      <c r="A831">
        <v>10170</v>
      </c>
      <c r="B831">
        <v>21</v>
      </c>
      <c r="C831" s="1">
        <v>53215.15</v>
      </c>
      <c r="D831">
        <v>830</v>
      </c>
    </row>
    <row r="832" spans="1:4" x14ac:dyDescent="0.35">
      <c r="A832">
        <v>10653</v>
      </c>
      <c r="B832">
        <v>24</v>
      </c>
      <c r="C832" s="1">
        <v>53118.34</v>
      </c>
      <c r="D832">
        <v>831</v>
      </c>
    </row>
    <row r="833" spans="1:4" x14ac:dyDescent="0.35">
      <c r="A833">
        <v>10363</v>
      </c>
      <c r="B833">
        <v>23</v>
      </c>
      <c r="C833" s="1">
        <v>52777.66</v>
      </c>
      <c r="D833">
        <v>832</v>
      </c>
    </row>
    <row r="834" spans="1:4" x14ac:dyDescent="0.35">
      <c r="A834">
        <v>10434</v>
      </c>
      <c r="B834">
        <v>23</v>
      </c>
      <c r="C834" s="1">
        <v>52589.120000000003</v>
      </c>
      <c r="D834">
        <v>833</v>
      </c>
    </row>
    <row r="835" spans="1:4" x14ac:dyDescent="0.35">
      <c r="A835">
        <v>10960</v>
      </c>
      <c r="B835">
        <v>20</v>
      </c>
      <c r="C835" s="1">
        <v>52449.279999999999</v>
      </c>
      <c r="D835">
        <v>834</v>
      </c>
    </row>
    <row r="836" spans="1:4" x14ac:dyDescent="0.35">
      <c r="A836">
        <v>10510</v>
      </c>
      <c r="B836">
        <v>24</v>
      </c>
      <c r="C836" s="1">
        <v>52304.77</v>
      </c>
      <c r="D836">
        <v>835</v>
      </c>
    </row>
    <row r="837" spans="1:4" x14ac:dyDescent="0.35">
      <c r="A837">
        <v>10042</v>
      </c>
      <c r="B837">
        <v>28</v>
      </c>
      <c r="C837" s="1">
        <v>52082.32</v>
      </c>
      <c r="D837">
        <v>836</v>
      </c>
    </row>
    <row r="838" spans="1:4" x14ac:dyDescent="0.35">
      <c r="A838">
        <v>10595</v>
      </c>
      <c r="B838">
        <v>21</v>
      </c>
      <c r="C838" s="1">
        <v>51953.57</v>
      </c>
      <c r="D838">
        <v>837</v>
      </c>
    </row>
    <row r="839" spans="1:4" x14ac:dyDescent="0.35">
      <c r="A839">
        <v>10879</v>
      </c>
      <c r="B839">
        <v>22</v>
      </c>
      <c r="C839" s="1">
        <v>51488.7</v>
      </c>
      <c r="D839">
        <v>838</v>
      </c>
    </row>
    <row r="840" spans="1:4" x14ac:dyDescent="0.35">
      <c r="A840">
        <v>10259</v>
      </c>
      <c r="B840">
        <v>22</v>
      </c>
      <c r="C840" s="1">
        <v>51318.52</v>
      </c>
      <c r="D840">
        <v>839</v>
      </c>
    </row>
    <row r="841" spans="1:4" x14ac:dyDescent="0.35">
      <c r="A841">
        <v>10588</v>
      </c>
      <c r="B841">
        <v>24</v>
      </c>
      <c r="C841" s="1">
        <v>51196.59</v>
      </c>
      <c r="D841">
        <v>840</v>
      </c>
    </row>
    <row r="842" spans="1:4" x14ac:dyDescent="0.35">
      <c r="A842">
        <v>10040</v>
      </c>
      <c r="B842">
        <v>26</v>
      </c>
      <c r="C842" s="1">
        <v>51119.3</v>
      </c>
      <c r="D842">
        <v>841</v>
      </c>
    </row>
    <row r="843" spans="1:4" x14ac:dyDescent="0.35">
      <c r="A843">
        <v>10474</v>
      </c>
      <c r="B843">
        <v>21</v>
      </c>
      <c r="C843" s="1">
        <v>50575.22</v>
      </c>
      <c r="D843">
        <v>842</v>
      </c>
    </row>
    <row r="844" spans="1:4" x14ac:dyDescent="0.35">
      <c r="A844">
        <v>10430</v>
      </c>
      <c r="B844">
        <v>20</v>
      </c>
      <c r="C844" s="1">
        <v>50315.51</v>
      </c>
      <c r="D844">
        <v>843</v>
      </c>
    </row>
    <row r="845" spans="1:4" x14ac:dyDescent="0.35">
      <c r="A845">
        <v>10701</v>
      </c>
      <c r="B845">
        <v>26</v>
      </c>
      <c r="C845" s="1">
        <v>49793.06</v>
      </c>
      <c r="D845">
        <v>844</v>
      </c>
    </row>
    <row r="846" spans="1:4" x14ac:dyDescent="0.35">
      <c r="A846">
        <v>10025</v>
      </c>
      <c r="B846">
        <v>26</v>
      </c>
      <c r="C846" s="1">
        <v>48248.51</v>
      </c>
      <c r="D846">
        <v>845</v>
      </c>
    </row>
    <row r="847" spans="1:4" x14ac:dyDescent="0.35">
      <c r="A847">
        <v>11042</v>
      </c>
      <c r="B847">
        <v>20</v>
      </c>
      <c r="C847" s="1">
        <v>48070.64</v>
      </c>
      <c r="D847">
        <v>846</v>
      </c>
    </row>
    <row r="848" spans="1:4" x14ac:dyDescent="0.35">
      <c r="A848">
        <v>10964</v>
      </c>
      <c r="B848">
        <v>26</v>
      </c>
      <c r="C848" s="1">
        <v>48035.78</v>
      </c>
      <c r="D848">
        <v>847</v>
      </c>
    </row>
    <row r="849" spans="1:4" x14ac:dyDescent="0.35">
      <c r="A849">
        <v>10391</v>
      </c>
      <c r="B849">
        <v>21</v>
      </c>
      <c r="C849" s="1">
        <v>47986.879999999997</v>
      </c>
      <c r="D849">
        <v>848</v>
      </c>
    </row>
    <row r="850" spans="1:4" x14ac:dyDescent="0.35">
      <c r="A850">
        <v>11052</v>
      </c>
      <c r="B850">
        <v>23</v>
      </c>
      <c r="C850" s="1">
        <v>47951.34</v>
      </c>
      <c r="D850">
        <v>849</v>
      </c>
    </row>
    <row r="851" spans="1:4" x14ac:dyDescent="0.35">
      <c r="A851">
        <v>10292</v>
      </c>
      <c r="B851">
        <v>23</v>
      </c>
      <c r="C851" s="1">
        <v>47869.63</v>
      </c>
      <c r="D851">
        <v>850</v>
      </c>
    </row>
    <row r="852" spans="1:4" x14ac:dyDescent="0.35">
      <c r="A852">
        <v>10476</v>
      </c>
      <c r="B852">
        <v>23</v>
      </c>
      <c r="C852" s="1">
        <v>47568.35</v>
      </c>
      <c r="D852">
        <v>851</v>
      </c>
    </row>
    <row r="853" spans="1:4" x14ac:dyDescent="0.35">
      <c r="A853">
        <v>10778</v>
      </c>
      <c r="B853">
        <v>23</v>
      </c>
      <c r="C853" s="1">
        <v>46317</v>
      </c>
      <c r="D853">
        <v>852</v>
      </c>
    </row>
    <row r="854" spans="1:4" x14ac:dyDescent="0.35">
      <c r="A854">
        <v>10652</v>
      </c>
      <c r="B854">
        <v>23</v>
      </c>
      <c r="C854" s="1">
        <v>44737.42</v>
      </c>
      <c r="D854">
        <v>853</v>
      </c>
    </row>
    <row r="855" spans="1:4" x14ac:dyDescent="0.35">
      <c r="A855">
        <v>10868</v>
      </c>
      <c r="B855">
        <v>20</v>
      </c>
      <c r="C855" s="1">
        <v>44698.06</v>
      </c>
      <c r="D855">
        <v>854</v>
      </c>
    </row>
    <row r="856" spans="1:4" x14ac:dyDescent="0.35">
      <c r="A856">
        <v>10344</v>
      </c>
      <c r="B856">
        <v>18</v>
      </c>
      <c r="C856" s="1">
        <v>43719.25</v>
      </c>
      <c r="D856">
        <v>855</v>
      </c>
    </row>
    <row r="857" spans="1:4" x14ac:dyDescent="0.35">
      <c r="A857">
        <v>10788</v>
      </c>
      <c r="B857">
        <v>25</v>
      </c>
      <c r="C857" s="1">
        <v>43556.639999999999</v>
      </c>
      <c r="D857">
        <v>856</v>
      </c>
    </row>
    <row r="858" spans="1:4" x14ac:dyDescent="0.35">
      <c r="A858">
        <v>10977</v>
      </c>
      <c r="B858">
        <v>19</v>
      </c>
      <c r="C858" s="1">
        <v>42364.9</v>
      </c>
      <c r="D858">
        <v>857</v>
      </c>
    </row>
    <row r="859" spans="1:4" x14ac:dyDescent="0.35">
      <c r="A859">
        <v>10696</v>
      </c>
      <c r="B859">
        <v>18</v>
      </c>
      <c r="C859" s="1">
        <v>42307.42</v>
      </c>
      <c r="D859">
        <v>858</v>
      </c>
    </row>
    <row r="860" spans="1:4" x14ac:dyDescent="0.35">
      <c r="A860">
        <v>10782</v>
      </c>
      <c r="B860">
        <v>18</v>
      </c>
      <c r="C860" s="1">
        <v>40283.620000000003</v>
      </c>
      <c r="D860">
        <v>859</v>
      </c>
    </row>
    <row r="861" spans="1:4" x14ac:dyDescent="0.35">
      <c r="A861">
        <v>10828</v>
      </c>
      <c r="B861">
        <v>20</v>
      </c>
      <c r="C861" s="1">
        <v>39475.370000000003</v>
      </c>
      <c r="D861">
        <v>860</v>
      </c>
    </row>
    <row r="862" spans="1:4" x14ac:dyDescent="0.35">
      <c r="A862">
        <v>10163</v>
      </c>
      <c r="B862">
        <v>19</v>
      </c>
      <c r="C862" s="1">
        <v>37634.870000000003</v>
      </c>
      <c r="D862">
        <v>861</v>
      </c>
    </row>
    <row r="863" spans="1:4" x14ac:dyDescent="0.35">
      <c r="A863">
        <v>10765</v>
      </c>
      <c r="B863">
        <v>16</v>
      </c>
      <c r="C863" s="1">
        <v>36827.589999999997</v>
      </c>
      <c r="D863">
        <v>862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9374-BEB2-42EF-95CC-35B491CB5212}">
  <dimension ref="A1:B4"/>
  <sheetViews>
    <sheetView workbookViewId="0">
      <selection activeCell="A2" sqref="A2"/>
    </sheetView>
  </sheetViews>
  <sheetFormatPr defaultRowHeight="14.5" x14ac:dyDescent="0.35"/>
  <cols>
    <col min="1" max="1" width="16.08984375" bestFit="1" customWidth="1"/>
    <col min="2" max="2" width="24.26953125" bestFit="1" customWidth="1"/>
  </cols>
  <sheetData>
    <row r="1" spans="1:2" s="4" customFormat="1" x14ac:dyDescent="0.35">
      <c r="A1" s="4" t="s">
        <v>12</v>
      </c>
      <c r="B1" s="4" t="s">
        <v>13</v>
      </c>
    </row>
    <row r="2" spans="1:2" x14ac:dyDescent="0.35">
      <c r="A2">
        <v>1</v>
      </c>
      <c r="B2">
        <v>351</v>
      </c>
    </row>
    <row r="3" spans="1:2" x14ac:dyDescent="0.35">
      <c r="A3">
        <v>2</v>
      </c>
      <c r="B3">
        <v>352</v>
      </c>
    </row>
    <row r="4" spans="1:2" x14ac:dyDescent="0.35">
      <c r="A4">
        <v>3</v>
      </c>
      <c r="B4">
        <v>397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7BDC-9DB5-4D3E-9902-5B24722F4214}">
  <dimension ref="A1:C5"/>
  <sheetViews>
    <sheetView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9.1796875" bestFit="1" customWidth="1"/>
    <col min="2" max="2" width="24.6328125" bestFit="1" customWidth="1"/>
    <col min="3" max="3" width="27" style="1" bestFit="1" customWidth="1"/>
    <col min="5" max="5" width="11.08984375" customWidth="1"/>
  </cols>
  <sheetData>
    <row r="1" spans="1:3" s="4" customFormat="1" x14ac:dyDescent="0.35">
      <c r="A1" s="4" t="s">
        <v>5</v>
      </c>
      <c r="B1" s="4" t="s">
        <v>4</v>
      </c>
      <c r="C1" s="5" t="s">
        <v>6</v>
      </c>
    </row>
    <row r="2" spans="1:3" x14ac:dyDescent="0.35">
      <c r="A2">
        <v>1</v>
      </c>
      <c r="B2">
        <v>15065</v>
      </c>
      <c r="C2" s="1">
        <v>37647877.219999999</v>
      </c>
    </row>
    <row r="3" spans="1:3" x14ac:dyDescent="0.35">
      <c r="A3">
        <v>3</v>
      </c>
      <c r="B3">
        <v>14771</v>
      </c>
      <c r="C3" s="1">
        <v>37183395.630000003</v>
      </c>
    </row>
    <row r="4" spans="1:3" x14ac:dyDescent="0.35">
      <c r="A4">
        <v>2</v>
      </c>
      <c r="B4">
        <v>14706</v>
      </c>
      <c r="C4" s="1">
        <v>36742449.799999997</v>
      </c>
    </row>
    <row r="5" spans="1:3" x14ac:dyDescent="0.35">
      <c r="A5">
        <v>4</v>
      </c>
      <c r="B5">
        <v>4958</v>
      </c>
      <c r="C5" s="1">
        <v>12381777.83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4200-8202-4861-89B1-DB3197796981}">
  <dimension ref="A1:B14"/>
  <sheetViews>
    <sheetView topLeftCell="C1" workbookViewId="0">
      <selection activeCell="C16" sqref="C16"/>
    </sheetView>
  </sheetViews>
  <sheetFormatPr defaultRowHeight="14.5" x14ac:dyDescent="0.35"/>
  <cols>
    <col min="1" max="1" width="16.7265625" bestFit="1" customWidth="1"/>
    <col min="2" max="2" width="40.7265625" bestFit="1" customWidth="1"/>
  </cols>
  <sheetData>
    <row r="1" spans="1:2" x14ac:dyDescent="0.35">
      <c r="A1" s="10" t="s">
        <v>2</v>
      </c>
      <c r="B1" t="s">
        <v>36</v>
      </c>
    </row>
    <row r="3" spans="1:2" x14ac:dyDescent="0.35">
      <c r="A3" s="10" t="s">
        <v>38</v>
      </c>
      <c r="B3" t="s">
        <v>37</v>
      </c>
    </row>
    <row r="4" spans="1:2" x14ac:dyDescent="0.35">
      <c r="A4" s="11">
        <v>10458</v>
      </c>
      <c r="B4" s="1">
        <v>755595.12</v>
      </c>
    </row>
    <row r="5" spans="1:2" x14ac:dyDescent="0.35">
      <c r="A5" s="11">
        <v>10324</v>
      </c>
      <c r="B5" s="1">
        <v>513469.42</v>
      </c>
    </row>
    <row r="6" spans="1:2" x14ac:dyDescent="0.35">
      <c r="A6" s="11">
        <v>11038</v>
      </c>
      <c r="B6" s="1">
        <v>505539.75</v>
      </c>
    </row>
    <row r="7" spans="1:2" x14ac:dyDescent="0.35">
      <c r="A7" s="11">
        <v>10297</v>
      </c>
      <c r="B7" s="1">
        <v>493183.81</v>
      </c>
    </row>
    <row r="8" spans="1:2" x14ac:dyDescent="0.35">
      <c r="A8" s="11">
        <v>11090</v>
      </c>
      <c r="B8" s="1">
        <v>488885.57</v>
      </c>
    </row>
    <row r="9" spans="1:2" x14ac:dyDescent="0.35">
      <c r="A9" s="11">
        <v>10760</v>
      </c>
      <c r="B9" s="1">
        <v>455518.67</v>
      </c>
    </row>
    <row r="10" spans="1:2" x14ac:dyDescent="0.35">
      <c r="A10" s="11">
        <v>10909</v>
      </c>
      <c r="B10" s="1">
        <v>454161.19</v>
      </c>
    </row>
    <row r="11" spans="1:2" x14ac:dyDescent="0.35">
      <c r="A11" s="11">
        <v>10226</v>
      </c>
      <c r="B11" s="1">
        <v>436983.54</v>
      </c>
    </row>
    <row r="12" spans="1:2" x14ac:dyDescent="0.35">
      <c r="A12" s="11">
        <v>10298</v>
      </c>
      <c r="B12" s="1">
        <v>426015.78</v>
      </c>
    </row>
    <row r="13" spans="1:2" x14ac:dyDescent="0.35">
      <c r="A13" s="11">
        <v>10895</v>
      </c>
      <c r="B13" s="1">
        <v>424688.68</v>
      </c>
    </row>
    <row r="14" spans="1:2" x14ac:dyDescent="0.35">
      <c r="A14" s="11" t="s">
        <v>23</v>
      </c>
      <c r="B14" s="1">
        <v>4954041.53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C3A8-F334-4DDA-8B76-B13504559CD0}">
  <dimension ref="A3:C8"/>
  <sheetViews>
    <sheetView topLeftCell="B2" workbookViewId="0">
      <selection activeCell="B16" sqref="B16"/>
    </sheetView>
  </sheetViews>
  <sheetFormatPr defaultRowHeight="14.5" x14ac:dyDescent="0.35"/>
  <cols>
    <col min="1" max="1" width="16.7265625" bestFit="1" customWidth="1"/>
    <col min="2" max="2" width="20.54296875" bestFit="1" customWidth="1"/>
    <col min="3" max="3" width="22.90625" bestFit="1" customWidth="1"/>
  </cols>
  <sheetData>
    <row r="3" spans="1:3" x14ac:dyDescent="0.35">
      <c r="A3" s="10" t="s">
        <v>5</v>
      </c>
      <c r="B3" t="s">
        <v>26</v>
      </c>
      <c r="C3" t="s">
        <v>27</v>
      </c>
    </row>
    <row r="4" spans="1:3" x14ac:dyDescent="0.35">
      <c r="A4" s="11">
        <v>1</v>
      </c>
      <c r="B4">
        <v>15065</v>
      </c>
      <c r="C4" s="1">
        <v>37647877.219999999</v>
      </c>
    </row>
    <row r="5" spans="1:3" x14ac:dyDescent="0.35">
      <c r="A5" s="11">
        <v>2</v>
      </c>
      <c r="B5">
        <v>14706</v>
      </c>
      <c r="C5" s="1">
        <v>36742449.799999997</v>
      </c>
    </row>
    <row r="6" spans="1:3" x14ac:dyDescent="0.35">
      <c r="A6" s="11">
        <v>3</v>
      </c>
      <c r="B6">
        <v>14771</v>
      </c>
      <c r="C6" s="1">
        <v>37183395.630000003</v>
      </c>
    </row>
    <row r="7" spans="1:3" x14ac:dyDescent="0.35">
      <c r="A7" s="11">
        <v>4</v>
      </c>
      <c r="B7">
        <v>4958</v>
      </c>
      <c r="C7" s="1">
        <v>12381777.83</v>
      </c>
    </row>
    <row r="8" spans="1:3" x14ac:dyDescent="0.35">
      <c r="A8" s="11" t="s">
        <v>23</v>
      </c>
      <c r="B8">
        <v>49500</v>
      </c>
      <c r="C8" s="1">
        <v>123955500.48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3481-AB11-4C77-AAC6-0595161B2FCA}">
  <dimension ref="A3:B14"/>
  <sheetViews>
    <sheetView workbookViewId="0">
      <selection activeCell="K19" sqref="K19"/>
    </sheetView>
  </sheetViews>
  <sheetFormatPr defaultRowHeight="14.5" x14ac:dyDescent="0.35"/>
  <cols>
    <col min="1" max="1" width="11.1796875" bestFit="1" customWidth="1"/>
    <col min="2" max="2" width="14.26953125" style="1" bestFit="1" customWidth="1"/>
  </cols>
  <sheetData>
    <row r="3" spans="1:2" x14ac:dyDescent="0.35">
      <c r="A3" s="10" t="s">
        <v>35</v>
      </c>
      <c r="B3" s="1" t="s">
        <v>34</v>
      </c>
    </row>
    <row r="4" spans="1:2" x14ac:dyDescent="0.35">
      <c r="A4" s="11">
        <v>200002</v>
      </c>
      <c r="B4" s="1">
        <v>282107.15999999997</v>
      </c>
    </row>
    <row r="5" spans="1:2" x14ac:dyDescent="0.35">
      <c r="A5" s="11">
        <v>200008</v>
      </c>
      <c r="B5" s="1">
        <v>188641.41</v>
      </c>
    </row>
    <row r="6" spans="1:2" x14ac:dyDescent="0.35">
      <c r="A6" s="11">
        <v>200006</v>
      </c>
      <c r="B6" s="1">
        <v>183249.43</v>
      </c>
    </row>
    <row r="7" spans="1:2" x14ac:dyDescent="0.35">
      <c r="A7" s="11">
        <v>200005</v>
      </c>
      <c r="B7" s="1">
        <v>149023.4</v>
      </c>
    </row>
    <row r="8" spans="1:2" x14ac:dyDescent="0.35">
      <c r="A8" s="11">
        <v>200009</v>
      </c>
      <c r="B8" s="1">
        <v>147881.15</v>
      </c>
    </row>
    <row r="9" spans="1:2" x14ac:dyDescent="0.35">
      <c r="A9" s="11">
        <v>200004</v>
      </c>
      <c r="B9" s="1">
        <v>141170.18</v>
      </c>
    </row>
    <row r="10" spans="1:2" x14ac:dyDescent="0.35">
      <c r="A10" s="11">
        <v>200001</v>
      </c>
      <c r="B10" s="1">
        <v>134778.97</v>
      </c>
    </row>
    <row r="11" spans="1:2" x14ac:dyDescent="0.35">
      <c r="A11" s="11">
        <v>200007</v>
      </c>
      <c r="B11" s="1">
        <v>126206.13</v>
      </c>
    </row>
    <row r="12" spans="1:2" x14ac:dyDescent="0.35">
      <c r="A12" s="11">
        <v>200000</v>
      </c>
      <c r="B12" s="1">
        <v>125986.73</v>
      </c>
    </row>
    <row r="13" spans="1:2" x14ac:dyDescent="0.35">
      <c r="A13" s="11">
        <v>200003</v>
      </c>
      <c r="B13" s="1">
        <v>92873.64</v>
      </c>
    </row>
    <row r="14" spans="1:2" x14ac:dyDescent="0.35">
      <c r="A14" s="11" t="s">
        <v>23</v>
      </c>
      <c r="B14" s="1">
        <v>1571918.2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EB60-907B-4A75-A2B7-5EE99F64DF9B}">
  <dimension ref="A3:B7"/>
  <sheetViews>
    <sheetView workbookViewId="0">
      <selection activeCell="H21" sqref="H21"/>
    </sheetView>
  </sheetViews>
  <sheetFormatPr defaultRowHeight="14.5" x14ac:dyDescent="0.35"/>
  <cols>
    <col min="1" max="1" width="16.7265625" bestFit="1" customWidth="1"/>
    <col min="2" max="2" width="20.1796875" bestFit="1" customWidth="1"/>
  </cols>
  <sheetData>
    <row r="3" spans="1:2" x14ac:dyDescent="0.35">
      <c r="A3" s="10" t="s">
        <v>12</v>
      </c>
      <c r="B3" t="s">
        <v>24</v>
      </c>
    </row>
    <row r="4" spans="1:2" x14ac:dyDescent="0.35">
      <c r="A4" s="11" t="s">
        <v>25</v>
      </c>
      <c r="B4">
        <v>351</v>
      </c>
    </row>
    <row r="5" spans="1:2" x14ac:dyDescent="0.35">
      <c r="A5" s="11">
        <v>2</v>
      </c>
      <c r="B5">
        <v>352</v>
      </c>
    </row>
    <row r="6" spans="1:2" x14ac:dyDescent="0.35">
      <c r="A6" s="11">
        <v>3</v>
      </c>
      <c r="B6">
        <v>397</v>
      </c>
    </row>
    <row r="7" spans="1:2" x14ac:dyDescent="0.35">
      <c r="A7" s="11" t="s">
        <v>23</v>
      </c>
      <c r="B7">
        <v>1100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7FD3-CB60-42BB-A4F8-EC55834D66D7}">
  <dimension ref="A3:B6"/>
  <sheetViews>
    <sheetView workbookViewId="0">
      <selection activeCell="B15" sqref="B15"/>
    </sheetView>
  </sheetViews>
  <sheetFormatPr defaultRowHeight="14.5" x14ac:dyDescent="0.35"/>
  <cols>
    <col min="1" max="1" width="16.26953125" bestFit="1" customWidth="1"/>
    <col min="2" max="3" width="7.81640625" bestFit="1" customWidth="1"/>
  </cols>
  <sheetData>
    <row r="3" spans="1:2" x14ac:dyDescent="0.35">
      <c r="A3" s="10" t="s">
        <v>28</v>
      </c>
      <c r="B3" t="s">
        <v>33</v>
      </c>
    </row>
    <row r="4" spans="1:2" x14ac:dyDescent="0.35">
      <c r="A4" s="11" t="s">
        <v>32</v>
      </c>
      <c r="B4" s="13">
        <v>0.81950333131435493</v>
      </c>
    </row>
    <row r="5" spans="1:2" x14ac:dyDescent="0.35">
      <c r="A5" s="11" t="s">
        <v>31</v>
      </c>
      <c r="B5" s="13">
        <v>0.18049666868564507</v>
      </c>
    </row>
    <row r="6" spans="1:2" x14ac:dyDescent="0.35">
      <c r="A6" s="11" t="s">
        <v>23</v>
      </c>
      <c r="B6" s="12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dashboard</vt:lpstr>
      <vt:lpstr>аnalysis</vt:lpstr>
      <vt:lpstr>conclusions</vt:lpstr>
      <vt:lpstr>account_activity</vt:lpstr>
      <vt:lpstr>сustomer_activity</vt:lpstr>
      <vt:lpstr>customer_types</vt:lpstr>
      <vt:lpstr>transaction_types</vt:lpstr>
      <vt:lpstr>pivot_top_customers</vt:lpstr>
      <vt:lpstr>pivot_transaction_types</vt:lpstr>
      <vt:lpstr>pivot_top_accounts</vt:lpstr>
      <vt:lpstr>pivot_customer_types</vt:lpstr>
      <vt:lpstr>pivot_loans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Алсу Сафина</cp:lastModifiedBy>
  <dcterms:created xsi:type="dcterms:W3CDTF">2026-08-23T12:44:53Z</dcterms:created>
  <dcterms:modified xsi:type="dcterms:W3CDTF">2026-08-24T16:58:33Z</dcterms:modified>
</cp:coreProperties>
</file>